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rive-W\test_veh_profile\xlsx\"/>
    </mc:Choice>
  </mc:AlternateContent>
  <bookViews>
    <workbookView xWindow="0" yWindow="0" windowWidth="15090" windowHeight="7950" tabRatio="729" activeTab="2"/>
  </bookViews>
  <sheets>
    <sheet name="Summary" sheetId="2" r:id="rId1"/>
    <sheet name="Feature Support" sheetId="9" r:id="rId2"/>
    <sheet name="Basic Sensings" sheetId="1" r:id="rId3"/>
    <sheet name="DATA Misc" sheetId="11" r:id="rId4"/>
    <sheet name="Functions" sheetId="3" r:id="rId5"/>
    <sheet name="Functions CMDs" sheetId="10" r:id="rId6"/>
    <sheet name="Remote Start" sheetId="4" r:id="rId7"/>
    <sheet name="Sense Group" sheetId="12" r:id="rId8"/>
    <sheet name="formulas_data tables" sheetId="6" state="hidden" r:id="rId9"/>
  </sheets>
  <definedNames>
    <definedName name="_xlnm._FilterDatabase" localSheetId="2" hidden="1">'Basic Sensings'!$A$3:$Q$3</definedName>
    <definedName name="_xlnm._FilterDatabase" localSheetId="8" hidden="1">'formulas_data tables'!$A$1:$F$19</definedName>
    <definedName name="ACTIVE">'formulas_data tables'!$N$2:$N$3</definedName>
    <definedName name="baud">'formulas_data tables'!$D$2:$D$13</definedName>
    <definedName name="baudrate">'formulas_data tables'!$D$3:$D$13</definedName>
    <definedName name="Brake">'formulas_data tables'!$G$3:$G$4</definedName>
    <definedName name="Broadcast">'formulas_data tables'!$H$3:$H$4</definedName>
    <definedName name="byteLocation">'formulas_data tables'!$F$3:$F$11</definedName>
    <definedName name="can">'formulas_data tables'!$J$2:$J$3</definedName>
    <definedName name="CAN_P">'formulas_data tables'!$J$2:$J$4</definedName>
    <definedName name="CAN_Type">'formulas_data tables'!$P$2:$P$3</definedName>
    <definedName name="canOne">Summary!$F$2</definedName>
    <definedName name="canTwo">Summary!$H$2</definedName>
    <definedName name="car">Summary!$E$2</definedName>
    <definedName name="carType">'formulas_data tables'!$C$3:$C$4</definedName>
    <definedName name="dataType">'formulas_data tables'!$B$3:$B$4</definedName>
    <definedName name="make">Summary!$B$2</definedName>
    <definedName name="model">Summary!$C$2</definedName>
    <definedName name="N_A">'formulas_data tables'!$G$2:$G$4</definedName>
    <definedName name="Polarity">'formulas_data tables'!$O$2:$O$5</definedName>
    <definedName name="signal">'formulas_data tables'!$L$2:$L$4</definedName>
    <definedName name="STATE">'formulas_data tables'!$N$2:$N$3</definedName>
    <definedName name="tran">Summary!$D$2</definedName>
    <definedName name="Transmission" localSheetId="2">'formulas_data tables'!$A$3:$A$4</definedName>
    <definedName name="Transmission" localSheetId="4">'formulas_data tables'!$A$3:$A$4</definedName>
    <definedName name="Transmission" localSheetId="6">'formulas_data tables'!$A$3:$A$4</definedName>
    <definedName name="Transmission" localSheetId="0">'formulas_data tables'!$A$3:$A$4</definedName>
    <definedName name="type">'formulas_data tables'!$C$3:$C$4</definedName>
    <definedName name="units">'formulas_data tables'!$E$3:$E$19</definedName>
    <definedName name="vehicleYear">Summary!$A$2</definedName>
    <definedName name="Year">'formulas_data tables'!$I$2:$I$95</definedName>
    <definedName name="Years">'formulas_data tables'!$K$2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9" l="1"/>
  <c r="B30" i="9" l="1"/>
  <c r="B31" i="9"/>
  <c r="B24" i="9"/>
  <c r="B23" i="9"/>
  <c r="B22" i="9"/>
  <c r="B21" i="9"/>
  <c r="B20" i="9"/>
  <c r="B19" i="9"/>
  <c r="B18" i="9"/>
  <c r="B17" i="9"/>
  <c r="B16" i="9"/>
  <c r="B15" i="9"/>
  <c r="B14" i="9"/>
  <c r="B13" i="9"/>
  <c r="B12" i="9"/>
  <c r="B11" i="9"/>
  <c r="B10" i="9"/>
  <c r="B9" i="9"/>
  <c r="B8" i="9"/>
  <c r="B7" i="9"/>
  <c r="B6" i="9"/>
  <c r="B5" i="9"/>
  <c r="B4" i="9"/>
  <c r="E2" i="10"/>
  <c r="D2" i="10"/>
  <c r="F1" i="10"/>
  <c r="E1" i="10"/>
  <c r="B25" i="9" l="1"/>
  <c r="B42" i="9" l="1"/>
  <c r="B41" i="9"/>
  <c r="B40" i="9"/>
  <c r="B39" i="9"/>
  <c r="B38" i="9"/>
  <c r="B37" i="9"/>
  <c r="B36" i="9"/>
  <c r="B35" i="9"/>
  <c r="B33" i="9"/>
  <c r="B29" i="9"/>
  <c r="B28" i="9"/>
  <c r="B34" i="9"/>
  <c r="E2" i="1" l="1"/>
  <c r="E2" i="3" l="1"/>
  <c r="D2" i="3"/>
  <c r="F1" i="3"/>
  <c r="E1" i="3"/>
  <c r="D2" i="4"/>
  <c r="E2" i="4"/>
  <c r="F1" i="1" l="1"/>
  <c r="G1" i="1"/>
  <c r="F2" i="1"/>
  <c r="F1" i="4" l="1"/>
  <c r="E1" i="4"/>
  <c r="K2" i="6" l="1"/>
  <c r="D1" i="3" s="1"/>
  <c r="D1" i="10" l="1"/>
  <c r="E1" i="1"/>
  <c r="D1" i="4"/>
</calcChain>
</file>

<file path=xl/comments1.xml><?xml version="1.0" encoding="utf-8"?>
<comments xmlns="http://schemas.openxmlformats.org/spreadsheetml/2006/main">
  <authors>
    <author>Elie Issa</author>
  </authors>
  <commentList>
    <comment ref="B3" authorId="0" shapeId="0">
      <text>
        <r>
          <rPr>
            <b/>
            <sz val="9"/>
            <color indexed="81"/>
            <rFont val="Tahoma"/>
            <family val="2"/>
          </rPr>
          <t>Elie Issa:</t>
        </r>
        <r>
          <rPr>
            <sz val="9"/>
            <color indexed="81"/>
            <rFont val="Tahoma"/>
            <family val="2"/>
          </rPr>
          <t xml:space="preserve">
define the speed of the bus where the sensing is available. </t>
        </r>
      </text>
    </comment>
    <comment ref="C3" authorId="0" shapeId="0">
      <text>
        <r>
          <rPr>
            <b/>
            <sz val="9"/>
            <color indexed="81"/>
            <rFont val="Tahoma"/>
            <family val="2"/>
          </rPr>
          <t>Elie Issa:</t>
        </r>
        <r>
          <rPr>
            <sz val="9"/>
            <color indexed="81"/>
            <rFont val="Tahoma"/>
            <family val="2"/>
          </rPr>
          <t xml:space="preserve">
input the CAN ID where the data is located on the bus</t>
        </r>
      </text>
    </comment>
    <comment ref="D3" authorId="0" shapeId="0">
      <text>
        <r>
          <rPr>
            <b/>
            <sz val="9"/>
            <color indexed="81"/>
            <rFont val="Tahoma"/>
            <family val="2"/>
          </rPr>
          <t>Elie Issa:</t>
        </r>
        <r>
          <rPr>
            <sz val="9"/>
            <color indexed="81"/>
            <rFont val="Tahoma"/>
            <family val="2"/>
          </rPr>
          <t xml:space="preserve">
ADD DATA MESSAGE LENGTH OF FUNCTION
ex: 8 // signifies an 8 byte message
</t>
        </r>
      </text>
    </comment>
    <comment ref="E3" authorId="0" shapeId="0">
      <text>
        <r>
          <rPr>
            <b/>
            <sz val="9"/>
            <color indexed="81"/>
            <rFont val="Tahoma"/>
            <family val="2"/>
          </rPr>
          <t>Elie Issa:</t>
        </r>
        <r>
          <rPr>
            <sz val="9"/>
            <color indexed="81"/>
            <rFont val="Tahoma"/>
            <family val="2"/>
          </rPr>
          <t xml:space="preserve">
if little Endian: indicate byte location in the reverse order
ex: 2,1,0 -&gt; Little End.
ex: 0,1,2 -&gt; Big Endian
</t>
        </r>
      </text>
    </comment>
    <comment ref="F3" authorId="0" shapeId="0">
      <text>
        <r>
          <rPr>
            <sz val="9"/>
            <color indexed="81"/>
            <rFont val="Tahoma"/>
            <family val="2"/>
          </rPr>
          <t xml:space="preserve">define how the data will be interpretted by firmware.
1- write down the full 8 byte message indicating in bold the byte that does the action of the function in question
Ex:       LOCK                00 00 00 00 </t>
        </r>
        <r>
          <rPr>
            <b/>
            <sz val="9"/>
            <color indexed="81"/>
            <rFont val="Tahoma"/>
            <family val="2"/>
          </rPr>
          <t xml:space="preserve">40 </t>
        </r>
        <r>
          <rPr>
            <sz val="9"/>
            <color indexed="81"/>
            <rFont val="Tahoma"/>
            <family val="2"/>
          </rPr>
          <t>00 00 00</t>
        </r>
      </text>
    </comment>
    <comment ref="G3" authorId="0" shapeId="0">
      <text>
        <r>
          <rPr>
            <b/>
            <sz val="9"/>
            <color indexed="81"/>
            <rFont val="Tahoma"/>
            <family val="2"/>
          </rPr>
          <t>Elie Issa:</t>
        </r>
        <r>
          <rPr>
            <sz val="9"/>
            <color indexed="81"/>
            <rFont val="Tahoma"/>
            <family val="2"/>
          </rPr>
          <t xml:space="preserve">
define the delay required if any</t>
        </r>
      </text>
    </comment>
    <comment ref="H3" authorId="0" shapeId="0">
      <text>
        <r>
          <rPr>
            <b/>
            <sz val="9"/>
            <color indexed="81"/>
            <rFont val="Tahoma"/>
            <family val="2"/>
          </rPr>
          <t>Elie Issa:</t>
        </r>
        <r>
          <rPr>
            <sz val="9"/>
            <color indexed="81"/>
            <rFont val="Tahoma"/>
            <family val="2"/>
          </rPr>
          <t xml:space="preserve">
add any additional connections required to achieve the function in question, such as diodes if needed when connecting 2 pts outputs or a starter and a brake on the same outputs</t>
        </r>
      </text>
    </comment>
  </commentList>
</comments>
</file>

<file path=xl/comments2.xml><?xml version="1.0" encoding="utf-8"?>
<comments xmlns="http://schemas.openxmlformats.org/spreadsheetml/2006/main">
  <authors>
    <author>Elie Issa</author>
  </authors>
  <commentList>
    <comment ref="B3" authorId="0" shapeId="0">
      <text>
        <r>
          <rPr>
            <b/>
            <sz val="9"/>
            <color indexed="81"/>
            <rFont val="Tahoma"/>
            <family val="2"/>
          </rPr>
          <t>Elie Issa:</t>
        </r>
        <r>
          <rPr>
            <sz val="9"/>
            <color indexed="81"/>
            <rFont val="Tahoma"/>
            <family val="2"/>
          </rPr>
          <t xml:space="preserve">
Enter the currents from car of each function </t>
        </r>
      </text>
    </comment>
    <comment ref="D3" authorId="0" shapeId="0">
      <text>
        <r>
          <rPr>
            <b/>
            <sz val="9"/>
            <color indexed="81"/>
            <rFont val="Tahoma"/>
            <family val="2"/>
          </rPr>
          <t>Elie Issa:</t>
        </r>
        <r>
          <rPr>
            <sz val="9"/>
            <color indexed="81"/>
            <rFont val="Tahoma"/>
            <family val="2"/>
          </rPr>
          <t xml:space="preserve">
define wire color in vehicle</t>
        </r>
      </text>
    </comment>
    <comment ref="E3" authorId="0" shapeId="0">
      <text>
        <r>
          <rPr>
            <b/>
            <sz val="9"/>
            <color indexed="81"/>
            <rFont val="Tahoma"/>
            <family val="2"/>
          </rPr>
          <t>Elie Issa:</t>
        </r>
        <r>
          <rPr>
            <sz val="9"/>
            <color indexed="81"/>
            <rFont val="Tahoma"/>
            <family val="2"/>
          </rPr>
          <t xml:space="preserve">
is this connection needed for remote start?</t>
        </r>
      </text>
    </comment>
    <comment ref="F3" authorId="0" shapeId="0">
      <text>
        <r>
          <rPr>
            <b/>
            <sz val="9"/>
            <color indexed="81"/>
            <rFont val="Tahoma"/>
            <family val="2"/>
          </rPr>
          <t>Elie Issa:</t>
        </r>
        <r>
          <rPr>
            <sz val="9"/>
            <color indexed="81"/>
            <rFont val="Tahoma"/>
            <family val="2"/>
          </rPr>
          <t xml:space="preserve">
does this vehicle require brake before remote start?</t>
        </r>
      </text>
    </comment>
    <comment ref="G3" authorId="0" shapeId="0">
      <text>
        <r>
          <rPr>
            <b/>
            <sz val="9"/>
            <color indexed="81"/>
            <rFont val="Tahoma"/>
            <family val="2"/>
          </rPr>
          <t>Elie Issa:</t>
        </r>
        <r>
          <rPr>
            <sz val="9"/>
            <color indexed="81"/>
            <rFont val="Tahoma"/>
            <family val="2"/>
          </rPr>
          <t xml:space="preserve">
define the voltage required</t>
        </r>
      </text>
    </comment>
    <comment ref="H3" authorId="0" shapeId="0">
      <text>
        <r>
          <rPr>
            <b/>
            <sz val="9"/>
            <color indexed="81"/>
            <rFont val="Tahoma"/>
            <family val="2"/>
          </rPr>
          <t>Elie Issa:</t>
        </r>
        <r>
          <rPr>
            <sz val="9"/>
            <color indexed="81"/>
            <rFont val="Tahoma"/>
            <family val="2"/>
          </rPr>
          <t xml:space="preserve">
define the resistance required if any</t>
        </r>
      </text>
    </comment>
    <comment ref="I3" authorId="0" shapeId="0">
      <text>
        <r>
          <rPr>
            <b/>
            <sz val="9"/>
            <color indexed="81"/>
            <rFont val="Tahoma"/>
            <family val="2"/>
          </rPr>
          <t>Elie Issa:</t>
        </r>
        <r>
          <rPr>
            <sz val="9"/>
            <color indexed="81"/>
            <rFont val="Tahoma"/>
            <family val="2"/>
          </rPr>
          <t xml:space="preserve">
add any additional connections required to achieve the function in question, such as diodes if needed when connecting 2 pts outputs or a starter and a brake on the same outputs</t>
        </r>
      </text>
    </comment>
  </commentList>
</comments>
</file>

<file path=xl/comments3.xml><?xml version="1.0" encoding="utf-8"?>
<comments xmlns="http://schemas.openxmlformats.org/spreadsheetml/2006/main">
  <authors>
    <author>Elie Issa</author>
  </authors>
  <commentList>
    <comment ref="E6" authorId="0" shapeId="0">
      <text>
        <r>
          <rPr>
            <b/>
            <sz val="9"/>
            <color indexed="81"/>
            <rFont val="Tahoma"/>
            <family val="2"/>
          </rPr>
          <t>Elie Issa:</t>
        </r>
        <r>
          <rPr>
            <sz val="9"/>
            <color indexed="81"/>
            <rFont val="Tahoma"/>
            <family val="2"/>
          </rPr>
          <t xml:space="preserve">
alt 248 for degree</t>
        </r>
      </text>
    </comment>
  </commentList>
</comments>
</file>

<file path=xl/sharedStrings.xml><?xml version="1.0" encoding="utf-8"?>
<sst xmlns="http://schemas.openxmlformats.org/spreadsheetml/2006/main" count="1816" uniqueCount="1180">
  <si>
    <t>VEHICLE YEAR</t>
  </si>
  <si>
    <t>VEHICLE MAKE</t>
  </si>
  <si>
    <t>Year</t>
  </si>
  <si>
    <t>TRANSMISSION</t>
  </si>
  <si>
    <t>Broadcast</t>
  </si>
  <si>
    <t>COMMENT</t>
  </si>
  <si>
    <t>Sensings</t>
  </si>
  <si>
    <t>KeySense</t>
  </si>
  <si>
    <t>Units</t>
  </si>
  <si>
    <t>Functions</t>
  </si>
  <si>
    <t>Currents(mA)</t>
  </si>
  <si>
    <t>Aux2(sliding doors, etc...)</t>
  </si>
  <si>
    <t>Aux1(heated seats, etc...)</t>
  </si>
  <si>
    <t>Aux3(defroster, etc…)</t>
  </si>
  <si>
    <t>MUX(V)</t>
  </si>
  <si>
    <t>Ignition 1</t>
  </si>
  <si>
    <t>Ignition 2</t>
  </si>
  <si>
    <t xml:space="preserve">Accessory 1 </t>
  </si>
  <si>
    <t>Accessory 2</t>
  </si>
  <si>
    <t>Starter</t>
  </si>
  <si>
    <t>Required?</t>
  </si>
  <si>
    <t>PUSH(if in data)</t>
  </si>
  <si>
    <t>Brake before start?</t>
  </si>
  <si>
    <t>Parking Lights</t>
  </si>
  <si>
    <t>Wake up 1</t>
  </si>
  <si>
    <t>Wake up 2</t>
  </si>
  <si>
    <t>Delay(ms)</t>
  </si>
  <si>
    <t>Wire Colour</t>
  </si>
  <si>
    <t>RKE Idle 1</t>
  </si>
  <si>
    <t>RKE Idle 2</t>
  </si>
  <si>
    <t>Unlock All</t>
  </si>
  <si>
    <t>Trunk open</t>
  </si>
  <si>
    <t>#define NAME</t>
  </si>
  <si>
    <t>Type</t>
  </si>
  <si>
    <t>Digital</t>
  </si>
  <si>
    <t>State encoded</t>
  </si>
  <si>
    <t>Analog</t>
  </si>
  <si>
    <t>Transmission</t>
  </si>
  <si>
    <t>Manual</t>
  </si>
  <si>
    <t>Auto</t>
  </si>
  <si>
    <t>Data type</t>
  </si>
  <si>
    <t>Event driven</t>
  </si>
  <si>
    <t xml:space="preserve">Car type </t>
  </si>
  <si>
    <t>PTS</t>
  </si>
  <si>
    <t>Key</t>
  </si>
  <si>
    <t>Baudrate</t>
  </si>
  <si>
    <t>KM</t>
  </si>
  <si>
    <t>KM/H</t>
  </si>
  <si>
    <t>Ω</t>
  </si>
  <si>
    <t>°C</t>
  </si>
  <si>
    <t>%</t>
  </si>
  <si>
    <t>rpm</t>
  </si>
  <si>
    <t>grams/sec</t>
  </si>
  <si>
    <t>kPa</t>
  </si>
  <si>
    <t>Volts</t>
  </si>
  <si>
    <t>Volts %</t>
  </si>
  <si>
    <t>seconds</t>
  </si>
  <si>
    <t>Pa</t>
  </si>
  <si>
    <t>A</t>
  </si>
  <si>
    <t>mA</t>
  </si>
  <si>
    <t>L</t>
  </si>
  <si>
    <t>L/h</t>
  </si>
  <si>
    <t>Nm</t>
  </si>
  <si>
    <t>Byte Location</t>
  </si>
  <si>
    <t>Car Type</t>
  </si>
  <si>
    <t>CAN ID</t>
  </si>
  <si>
    <t>Data/Formula</t>
  </si>
  <si>
    <t>Hazards</t>
  </si>
  <si>
    <t>Arm</t>
  </si>
  <si>
    <t>Disarm</t>
  </si>
  <si>
    <t xml:space="preserve">Lock </t>
  </si>
  <si>
    <t xml:space="preserve">Unlock driver </t>
  </si>
  <si>
    <t>YES</t>
  </si>
  <si>
    <t>NO</t>
  </si>
  <si>
    <t>broadcast or event driven</t>
  </si>
  <si>
    <t>Event Driven</t>
  </si>
  <si>
    <t>VEHICLE MODEL</t>
  </si>
  <si>
    <t>CAN Protocol</t>
  </si>
  <si>
    <t>CAN2</t>
  </si>
  <si>
    <t>CAN1</t>
  </si>
  <si>
    <t>Years</t>
  </si>
  <si>
    <t>Signal</t>
  </si>
  <si>
    <r>
      <t>Resistance(</t>
    </r>
    <r>
      <rPr>
        <b/>
        <sz val="14"/>
        <color rgb="FF3F3F3F"/>
        <rFont val="Calibri"/>
        <family val="2"/>
      </rPr>
      <t>Ω)</t>
    </r>
  </si>
  <si>
    <t>N/A</t>
  </si>
  <si>
    <t>Msg Length</t>
  </si>
  <si>
    <t>byte Location</t>
  </si>
  <si>
    <t>8</t>
  </si>
  <si>
    <t>2</t>
  </si>
  <si>
    <t>40</t>
  </si>
  <si>
    <t>0x400</t>
  </si>
  <si>
    <t>01 02 00 00 00 00 FF FF</t>
  </si>
  <si>
    <t>0x40F</t>
  </si>
  <si>
    <t>SCANTOOL- Enter Diagnostic mode MSCAN</t>
  </si>
  <si>
    <t>SCANTOOL - Enter Diagnostic mode HSCAN</t>
  </si>
  <si>
    <t>SCANTOOL - KEEP ALIVE</t>
  </si>
  <si>
    <t>Rear Defrost ON</t>
  </si>
  <si>
    <t>Rear Defrost OFF</t>
  </si>
  <si>
    <t>Positive</t>
  </si>
  <si>
    <t>PTS 1</t>
  </si>
  <si>
    <t>Negative</t>
  </si>
  <si>
    <t>PTS 2</t>
  </si>
  <si>
    <t>Parking lights</t>
  </si>
  <si>
    <t>Takeover</t>
  </si>
  <si>
    <t>Base your sensing as much as possible on the CAN where the doorlock function IDs exist. In the case where multiple IDs for the same sensing exists on the same CAN or a different CAN, input only one ID in the fields below(based on the rule mentioned above) and input the other IDs and data in the comment section. Follow examples provided below.</t>
  </si>
  <si>
    <t xml:space="preserve">AV-Auto Headlamp Shutoff </t>
  </si>
  <si>
    <t xml:space="preserve">AV-Panic Mode Activation </t>
  </si>
  <si>
    <t xml:space="preserve">AV-Parking Lights Control </t>
  </si>
  <si>
    <t xml:space="preserve">CC-Comfort Closure windows </t>
  </si>
  <si>
    <t xml:space="preserve">CC-Heated Mirrors </t>
  </si>
  <si>
    <t xml:space="preserve">CC-Heated Seats Activation </t>
  </si>
  <si>
    <t xml:space="preserve">CC-Power Sunroof </t>
  </si>
  <si>
    <t xml:space="preserve">CC-Power Windows Rolldown </t>
  </si>
  <si>
    <t xml:space="preserve">CC-Power Windows Rollup </t>
  </si>
  <si>
    <t xml:space="preserve">CC-Rear Window Defogger Activation </t>
  </si>
  <si>
    <t xml:space="preserve">DL-Arm Factory Security </t>
  </si>
  <si>
    <t xml:space="preserve">DL-Disarm Factory Security </t>
  </si>
  <si>
    <t xml:space="preserve">DL-Door Lock Control </t>
  </si>
  <si>
    <t xml:space="preserve">DL-Door Unlock </t>
  </si>
  <si>
    <t xml:space="preserve">DL-Driver Priority Unlock </t>
  </si>
  <si>
    <t xml:space="preserve">DL-Fuel Door Release </t>
  </si>
  <si>
    <t xml:space="preserve">DL-Hatch Glass Release </t>
  </si>
  <si>
    <t xml:space="preserve">DL-Sliding Door Control Driver </t>
  </si>
  <si>
    <t xml:space="preserve">DL-Sliding Door Control Passenger </t>
  </si>
  <si>
    <t xml:space="preserve">FOB-Control of aftermarket alarm with OEM remote </t>
  </si>
  <si>
    <t>PK-Immobilizer Bypass-Data No Key Req'd</t>
  </si>
  <si>
    <t xml:space="preserve">PK-Universal RF Bypass- Key Req'd </t>
  </si>
  <si>
    <t xml:space="preserve">RS-3x LOCK START (Start control using OEM Remote) </t>
  </si>
  <si>
    <t xml:space="preserve">RS-3x LOCK STOP (Start control using OEM Remote) </t>
  </si>
  <si>
    <t xml:space="preserve">RS-OEM Remote Start Activation using XL-202 or RF kit </t>
  </si>
  <si>
    <t xml:space="preserve">RS-RAP Shut Down (Retained ACC Power) </t>
  </si>
  <si>
    <t xml:space="preserve">RS-Remote Start Ready </t>
  </si>
  <si>
    <t xml:space="preserve">RS-Tach / RPM Output </t>
  </si>
  <si>
    <t xml:space="preserve">SS-Entry Monitoring ALL Door Pins </t>
  </si>
  <si>
    <t xml:space="preserve">SS-Entry Monitoring Hood Pin </t>
  </si>
  <si>
    <t xml:space="preserve">SS-Entry Monitoring Trunk/Hatch Pin </t>
  </si>
  <si>
    <t xml:space="preserve">SS-Factory Alarm Trigger Monitoring </t>
  </si>
  <si>
    <t xml:space="preserve">ST-Brake Status (foot brake) </t>
  </si>
  <si>
    <t xml:space="preserve">ST-Door Locks Status </t>
  </si>
  <si>
    <t xml:space="preserve">ST-Hand Brake Status </t>
  </si>
  <si>
    <t xml:space="preserve">ST-Ignition Status </t>
  </si>
  <si>
    <t>FEATURES</t>
  </si>
  <si>
    <t>Supported</t>
  </si>
  <si>
    <t>Runsafe</t>
  </si>
  <si>
    <t>FUNCTION CMDs STEPS</t>
  </si>
  <si>
    <t>CMDs</t>
  </si>
  <si>
    <t>DOOR LOCK CONTROL</t>
  </si>
  <si>
    <t>DRIVER PRIORITY UNLOCK</t>
  </si>
  <si>
    <t>PARKING LIGHTS CONTROL</t>
  </si>
  <si>
    <t>FUEL DOOR RELEASE</t>
  </si>
  <si>
    <t>HATCH GLASS RELEASE</t>
  </si>
  <si>
    <t>MOTORIZED TRUNK RELEASE</t>
  </si>
  <si>
    <t>HATCH RELEASE</t>
  </si>
  <si>
    <t>SLIDING DOOR CONTROL DRIVER</t>
  </si>
  <si>
    <t>SLIDING DOOR CONTROL PASSENGER</t>
  </si>
  <si>
    <t>ARM FACTORY SECURITY</t>
  </si>
  <si>
    <t>DISARM FACTORY SECURITY</t>
  </si>
  <si>
    <t>PANIC MODE ACTIVATION</t>
  </si>
  <si>
    <t>AUTO HEADLAMP SHUTOFF</t>
  </si>
  <si>
    <t>COMFORT CLOSURE WINDOWS</t>
  </si>
  <si>
    <t>HEATED MIRRORS</t>
  </si>
  <si>
    <t>HEATED SEATS ACTIVATION</t>
  </si>
  <si>
    <t>POWER SUNROOF</t>
  </si>
  <si>
    <t>POWER WINDOWS ROLLUP</t>
  </si>
  <si>
    <t>POWER WINDOWS ROLLDOWN</t>
  </si>
  <si>
    <t>REAR WINDOW DEFOGGER ACTIVATION</t>
  </si>
  <si>
    <t>RAP SHUTDOWN</t>
  </si>
  <si>
    <t>STATE</t>
  </si>
  <si>
    <t>ACTIVE</t>
  </si>
  <si>
    <t>NOT ACTIVE</t>
  </si>
  <si>
    <t xml:space="preserve">DL-Trunk Release </t>
  </si>
  <si>
    <t>DL- Hatch Release</t>
  </si>
  <si>
    <t>DL- Motorized Trunk Release</t>
  </si>
  <si>
    <t>TRUNK RELEASE</t>
  </si>
  <si>
    <t>RAP Msg</t>
  </si>
  <si>
    <t>Scantool Messages are to be added if needed or any other non basic function that could be used. Refer to example in functions example tab. Please do not input any wire data, should be all CAN.</t>
  </si>
  <si>
    <t>RXT START</t>
  </si>
  <si>
    <t>RXT STOP</t>
  </si>
  <si>
    <t xml:space="preserve"> IF you are using the function please select ACTIVE</t>
  </si>
  <si>
    <t>Polarity</t>
  </si>
  <si>
    <t>POLARITY</t>
  </si>
  <si>
    <t>Mux</t>
  </si>
  <si>
    <t>0x168</t>
  </si>
  <si>
    <t>0x010</t>
  </si>
  <si>
    <t>0F 01 00 00 00 00 FF FF</t>
  </si>
  <si>
    <t xml:space="preserve">00 00 00 00 00 00 00 00 </t>
  </si>
  <si>
    <t>The car need to see a driver door open transition</t>
  </si>
  <si>
    <t>0,1,2,3,4</t>
  </si>
  <si>
    <r>
      <rPr>
        <b/>
        <sz val="11"/>
        <color rgb="FF3F3F3F"/>
        <rFont val="Calibri"/>
        <family val="2"/>
        <scheme val="minor"/>
      </rPr>
      <t xml:space="preserve">02 10 03 </t>
    </r>
    <r>
      <rPr>
        <sz val="11"/>
        <color rgb="FF3F3F3F"/>
        <rFont val="Calibri"/>
        <family val="2"/>
        <scheme val="minor"/>
      </rPr>
      <t>00 00 00 00 00</t>
    </r>
  </si>
  <si>
    <t>0,1,2</t>
  </si>
  <si>
    <t>Need to send twice the unlock dr.</t>
  </si>
  <si>
    <t>DOOR LOCK IGN ON</t>
  </si>
  <si>
    <t>DOOR UNLOCK IGN ON</t>
  </si>
  <si>
    <t>MIRROR FOLDING</t>
  </si>
  <si>
    <t>MIRROR UNFOLDING</t>
  </si>
  <si>
    <t xml:space="preserve">
RAP Msg
</t>
  </si>
  <si>
    <t>DOOR UNLOCK ALL</t>
  </si>
  <si>
    <r>
      <rPr>
        <sz val="11"/>
        <color rgb="FF3F3F3F"/>
        <rFont val="Calibri"/>
        <family val="2"/>
        <scheme val="minor"/>
      </rPr>
      <t>00 00</t>
    </r>
    <r>
      <rPr>
        <b/>
        <sz val="11"/>
        <color rgb="FF3F3F3F"/>
        <rFont val="Calibri"/>
        <family val="2"/>
        <scheme val="minor"/>
      </rPr>
      <t xml:space="preserve"> 40 </t>
    </r>
    <r>
      <rPr>
        <sz val="11"/>
        <color rgb="FF3F3F3F"/>
        <rFont val="Calibri"/>
        <family val="2"/>
        <scheme val="minor"/>
      </rPr>
      <t>00 00 00 00 00</t>
    </r>
  </si>
  <si>
    <t>bypass</t>
  </si>
  <si>
    <t>0x7A1</t>
  </si>
  <si>
    <t xml:space="preserve">Mirror Folding </t>
  </si>
  <si>
    <t>Mirror Unfolding</t>
  </si>
  <si>
    <r>
      <rPr>
        <b/>
        <sz val="11"/>
        <color rgb="FF3F3F3F"/>
        <rFont val="Calibri"/>
        <family val="2"/>
        <scheme val="minor"/>
      </rPr>
      <t>04 2F B0 09</t>
    </r>
    <r>
      <rPr>
        <sz val="11"/>
        <color rgb="FF3F3F3F"/>
        <rFont val="Calibri"/>
        <family val="2"/>
        <scheme val="minor"/>
      </rPr>
      <t xml:space="preserve"> </t>
    </r>
    <r>
      <rPr>
        <b/>
        <sz val="11"/>
        <color rgb="FF3F3F3F"/>
        <rFont val="Calibri"/>
        <family val="2"/>
        <scheme val="minor"/>
      </rPr>
      <t>03</t>
    </r>
    <r>
      <rPr>
        <sz val="11"/>
        <color rgb="FF3F3F3F"/>
        <rFont val="Calibri"/>
        <family val="2"/>
        <scheme val="minor"/>
      </rPr>
      <t xml:space="preserve"> 00 00 00</t>
    </r>
  </si>
  <si>
    <r>
      <rPr>
        <b/>
        <sz val="11"/>
        <color rgb="FF3F3F3F"/>
        <rFont val="Calibri"/>
        <family val="2"/>
        <scheme val="minor"/>
      </rPr>
      <t>04 2F B0 0A</t>
    </r>
    <r>
      <rPr>
        <sz val="11"/>
        <color rgb="FF3F3F3F"/>
        <rFont val="Calibri"/>
        <family val="2"/>
        <scheme val="minor"/>
      </rPr>
      <t xml:space="preserve"> </t>
    </r>
    <r>
      <rPr>
        <b/>
        <sz val="11"/>
        <color rgb="FF3F3F3F"/>
        <rFont val="Calibri"/>
        <family val="2"/>
        <scheme val="minor"/>
      </rPr>
      <t>03</t>
    </r>
    <r>
      <rPr>
        <sz val="11"/>
        <color rgb="FF3F3F3F"/>
        <rFont val="Calibri"/>
        <family val="2"/>
        <scheme val="minor"/>
      </rPr>
      <t xml:space="preserve"> 00 00 00</t>
    </r>
  </si>
  <si>
    <t>100</t>
  </si>
  <si>
    <r>
      <rPr>
        <sz val="11"/>
        <color rgb="FF3F3F3F"/>
        <rFont val="Calibri"/>
        <family val="2"/>
        <scheme val="minor"/>
      </rPr>
      <t>00</t>
    </r>
    <r>
      <rPr>
        <b/>
        <sz val="11"/>
        <color rgb="FF3F3F3F"/>
        <rFont val="Calibri"/>
        <family val="2"/>
        <scheme val="minor"/>
      </rPr>
      <t xml:space="preserve"> </t>
    </r>
    <r>
      <rPr>
        <sz val="11"/>
        <color rgb="FF3F3F3F"/>
        <rFont val="Calibri"/>
        <family val="2"/>
        <scheme val="minor"/>
      </rPr>
      <t>00</t>
    </r>
    <r>
      <rPr>
        <b/>
        <sz val="11"/>
        <color rgb="FF3F3F3F"/>
        <rFont val="Calibri"/>
        <family val="2"/>
        <scheme val="minor"/>
      </rPr>
      <t xml:space="preserve"> 30 </t>
    </r>
    <r>
      <rPr>
        <sz val="11"/>
        <color rgb="FF3F3F3F"/>
        <rFont val="Calibri"/>
        <family val="2"/>
        <scheme val="minor"/>
      </rPr>
      <t xml:space="preserve">00 00 00 00 00 </t>
    </r>
  </si>
  <si>
    <t>1000</t>
  </si>
  <si>
    <t>wake up 1
delay 100 ms
wake up 2
delay 100 ms
3x lock( 40 ms delay)
3x idle (40 ms delay)</t>
  </si>
  <si>
    <t>wake up 1
delay 100 ms
wake up 2
delay 100 ms
3x unlock driver (40 ms delay)
3x idle (40 ms delay)
3x unlock driver (40 ms delay)
3x idle (40 ms delay)</t>
  </si>
  <si>
    <t>wake up 1
delay 100 ms
wake up 2
delay 100 ms
3x unlock driver (40 ms delay)
3x idle (40 ms delay)</t>
  </si>
  <si>
    <r>
      <rPr>
        <sz val="11"/>
        <color rgb="FF3F3F3F"/>
        <rFont val="Calibri"/>
        <family val="2"/>
        <scheme val="minor"/>
      </rPr>
      <t>00</t>
    </r>
    <r>
      <rPr>
        <b/>
        <sz val="11"/>
        <color rgb="FF3F3F3F"/>
        <rFont val="Calibri"/>
        <family val="2"/>
        <scheme val="minor"/>
      </rPr>
      <t xml:space="preserve"> </t>
    </r>
    <r>
      <rPr>
        <sz val="11"/>
        <color rgb="FF3F3F3F"/>
        <rFont val="Calibri"/>
        <family val="2"/>
        <scheme val="minor"/>
      </rPr>
      <t>00</t>
    </r>
    <r>
      <rPr>
        <b/>
        <sz val="11"/>
        <color rgb="FF3F3F3F"/>
        <rFont val="Calibri"/>
        <family val="2"/>
        <scheme val="minor"/>
      </rPr>
      <t xml:space="preserve"> 20 </t>
    </r>
    <r>
      <rPr>
        <sz val="11"/>
        <color rgb="FF3F3F3F"/>
        <rFont val="Calibri"/>
        <family val="2"/>
        <scheme val="minor"/>
      </rPr>
      <t>00 00 00 00 00</t>
    </r>
  </si>
  <si>
    <r>
      <rPr>
        <sz val="11"/>
        <color rgb="FF3F3F3F"/>
        <rFont val="Calibri"/>
        <family val="2"/>
        <scheme val="minor"/>
      </rPr>
      <t>00 00</t>
    </r>
    <r>
      <rPr>
        <b/>
        <sz val="11"/>
        <color rgb="FF3F3F3F"/>
        <rFont val="Calibri"/>
        <family val="2"/>
        <scheme val="minor"/>
      </rPr>
      <t xml:space="preserve"> 10 </t>
    </r>
    <r>
      <rPr>
        <sz val="11"/>
        <color rgb="FF3F3F3F"/>
        <rFont val="Calibri"/>
        <family val="2"/>
        <scheme val="minor"/>
      </rPr>
      <t>00 00 00 00 00</t>
    </r>
  </si>
  <si>
    <t xml:space="preserve">Scantool enter diagnostic mode
delay 1000 ms
Mirror folding 
delay 100 ms
</t>
  </si>
  <si>
    <t xml:space="preserve">Scantool enter diagnostic mode
delay 1000 ms
Mirror unfolding 
delay 100 ms
</t>
  </si>
  <si>
    <t>wake up 1
delay 100 ms
wake up 2
delay 100 ms
3x trunk Open  (40 ms delay)
3x idle (40 ms delay)</t>
  </si>
  <si>
    <t>yes</t>
  </si>
  <si>
    <t>I/P junction box</t>
  </si>
  <si>
    <t>pink</t>
  </si>
  <si>
    <t>Blue</t>
  </si>
  <si>
    <t>Yellow</t>
  </si>
  <si>
    <t>Driver kick panel</t>
  </si>
  <si>
    <t>yellow/orange</t>
  </si>
  <si>
    <t>orange/black</t>
  </si>
  <si>
    <t>gray/orange</t>
  </si>
  <si>
    <t>white/orange</t>
  </si>
  <si>
    <t>PTS BUTTON</t>
  </si>
  <si>
    <t>150</t>
  </si>
  <si>
    <t>~2</t>
  </si>
  <si>
    <t>3v , Steering column</t>
  </si>
  <si>
    <t>x</t>
  </si>
  <si>
    <t>0x169</t>
  </si>
  <si>
    <t>Lock Ign On</t>
  </si>
  <si>
    <t xml:space="preserve">Unlock Ign On </t>
  </si>
  <si>
    <t>1</t>
  </si>
  <si>
    <r>
      <t xml:space="preserve">00 </t>
    </r>
    <r>
      <rPr>
        <b/>
        <sz val="11"/>
        <color rgb="FF3F3F3F"/>
        <rFont val="Calibri"/>
        <family val="2"/>
        <scheme val="minor"/>
      </rPr>
      <t>20</t>
    </r>
    <r>
      <rPr>
        <sz val="11"/>
        <color rgb="FF3F3F3F"/>
        <rFont val="Calibri"/>
        <family val="2"/>
        <scheme val="minor"/>
      </rPr>
      <t xml:space="preserve"> 00 00 00 00 00 00</t>
    </r>
  </si>
  <si>
    <r>
      <t xml:space="preserve">00 </t>
    </r>
    <r>
      <rPr>
        <b/>
        <sz val="11"/>
        <color rgb="FF3F3F3F"/>
        <rFont val="Calibri"/>
        <family val="2"/>
        <scheme val="minor"/>
      </rPr>
      <t>10</t>
    </r>
    <r>
      <rPr>
        <sz val="11"/>
        <color rgb="FF3F3F3F"/>
        <rFont val="Calibri"/>
        <family val="2"/>
        <scheme val="minor"/>
      </rPr>
      <t xml:space="preserve"> 00 00 00 00 00 00</t>
    </r>
  </si>
  <si>
    <t>4x Lock Ign On (40 ms delay)</t>
  </si>
  <si>
    <t>4x Unlock Ign On (40 ms delay)</t>
  </si>
  <si>
    <t>ALL</t>
  </si>
  <si>
    <t>Mask</t>
  </si>
  <si>
    <t>Operator Mid</t>
  </si>
  <si>
    <t>Operator Front</t>
  </si>
  <si>
    <t>Comparator</t>
  </si>
  <si>
    <t>Factor</t>
  </si>
  <si>
    <t>Exponent</t>
  </si>
  <si>
    <t>Operator Last</t>
  </si>
  <si>
    <t>Offset</t>
  </si>
  <si>
    <t>0x10</t>
  </si>
  <si>
    <t>0x01</t>
  </si>
  <si>
    <t>Byte to Compare</t>
  </si>
  <si>
    <t>hond10</t>
  </si>
  <si>
    <t>CAN1 TYPE</t>
  </si>
  <si>
    <t>CAN2 TYPE</t>
  </si>
  <si>
    <t>CAN Type</t>
  </si>
  <si>
    <t>Dual Wire</t>
  </si>
  <si>
    <t>Single Wire</t>
  </si>
  <si>
    <t>VPP VERSION</t>
  </si>
  <si>
    <t>FW NAME</t>
  </si>
  <si>
    <t>0b10</t>
  </si>
  <si>
    <t>0b1110</t>
  </si>
  <si>
    <t>HYUNDAI</t>
  </si>
  <si>
    <t>SANTAFE</t>
  </si>
  <si>
    <t>DL_HANDLE_FD_UNLOCK</t>
  </si>
  <si>
    <t>SETTING</t>
  </si>
  <si>
    <t>LEN</t>
  </si>
  <si>
    <t>VALUE</t>
  </si>
  <si>
    <t>CAN_TIMING1</t>
  </si>
  <si>
    <t>0x55555555</t>
  </si>
  <si>
    <t>Group</t>
  </si>
  <si>
    <t>Entry monitoring</t>
  </si>
  <si>
    <t>Door front driver open</t>
  </si>
  <si>
    <t>ENT_DOOR_FD_OPEN</t>
  </si>
  <si>
    <t>Door front driver close</t>
  </si>
  <si>
    <t>ENT_DOOR_FD_CLOSE</t>
  </si>
  <si>
    <t>Door front passenger open</t>
  </si>
  <si>
    <t>ENT_DOOR_FP_OPEN</t>
  </si>
  <si>
    <t>Door front passenger close</t>
  </si>
  <si>
    <t>ENT_DOOR_FP_CLOSE</t>
  </si>
  <si>
    <t>Door rear passenger open</t>
  </si>
  <si>
    <t>ENT_DOOR_RP_OPEN</t>
  </si>
  <si>
    <t>Door rear passenger close</t>
  </si>
  <si>
    <t>ENT_DOOR_RP_CLOSE</t>
  </si>
  <si>
    <t>Door rear driver open</t>
  </si>
  <si>
    <t>ENT_DOOR_RD_OPEN</t>
  </si>
  <si>
    <t>Door rear driver close</t>
  </si>
  <si>
    <t>ENT_DOOR_RD_CLOSE</t>
  </si>
  <si>
    <t>ENT_TRUNK_OPEN</t>
  </si>
  <si>
    <t>Trunk close</t>
  </si>
  <si>
    <t>ENT_TRUNK_CLOSE</t>
  </si>
  <si>
    <t>Hood open</t>
  </si>
  <si>
    <t>ENT_HOOD_OPEN</t>
  </si>
  <si>
    <t>Hood close</t>
  </si>
  <si>
    <t>ENT_HOOD_CLOSE</t>
  </si>
  <si>
    <t>RKE/FOB</t>
  </si>
  <si>
    <t>RKE  REMOTE ID</t>
  </si>
  <si>
    <t>RKE_REMOTE_ID</t>
  </si>
  <si>
    <t>RKE  idle</t>
  </si>
  <si>
    <t>RKE_IDLE</t>
  </si>
  <si>
    <t>RKE  lock</t>
  </si>
  <si>
    <t>RKE_LOCK</t>
  </si>
  <si>
    <t>RKE  lock hold</t>
  </si>
  <si>
    <t>RKE_LOCK_HOLD</t>
  </si>
  <si>
    <t>RKE  unlock</t>
  </si>
  <si>
    <t>RKE_UNLOCK</t>
  </si>
  <si>
    <t>RKE  unlock all</t>
  </si>
  <si>
    <t>RKE_UNLOCK_ALL</t>
  </si>
  <si>
    <t>RKE  unlock hold</t>
  </si>
  <si>
    <t>RKE_UNLOCK_HOLD</t>
  </si>
  <si>
    <t>RKE  trunk</t>
  </si>
  <si>
    <t>RKE_TRUNK</t>
  </si>
  <si>
    <t>RKE  trunk hold</t>
  </si>
  <si>
    <t>RKE_TRUNK_HOLD</t>
  </si>
  <si>
    <t>RKE  panic</t>
  </si>
  <si>
    <t>RKE_PANIC</t>
  </si>
  <si>
    <t>RKE  driver slidding door</t>
  </si>
  <si>
    <t>RKE_DRIVER_SLIDE_DOOR</t>
  </si>
  <si>
    <t>RKE  passeger slidding door</t>
  </si>
  <si>
    <t>RKE_PASS_SLIDE_DOOR</t>
  </si>
  <si>
    <t>RKE  remote start</t>
  </si>
  <si>
    <t>RKE_REMOTE_START</t>
  </si>
  <si>
    <t>RKE  pop glass</t>
  </si>
  <si>
    <t>RKE_POP_GLASS</t>
  </si>
  <si>
    <t>FOB detection</t>
  </si>
  <si>
    <t>FOB_DETECTION</t>
  </si>
  <si>
    <t>FOB inside cabin</t>
  </si>
  <si>
    <t>FOB_INSIDE_CABIN</t>
  </si>
  <si>
    <t>FOB outside cabin</t>
  </si>
  <si>
    <t>FOB_OUTSIDE_CABIN</t>
  </si>
  <si>
    <t>OEM remote start START UP</t>
  </si>
  <si>
    <t>OEM_REMOTE_START_START_UP</t>
  </si>
  <si>
    <t>OEM remote start STOP</t>
  </si>
  <si>
    <t>OEM_REMOTE_START_STOP</t>
  </si>
  <si>
    <t>DoorLock</t>
  </si>
  <si>
    <t>Door all lock</t>
  </si>
  <si>
    <t>DL_DOOR_ALL_LOCK</t>
  </si>
  <si>
    <t>Door all unlock</t>
  </si>
  <si>
    <t>DL_DOOR_ALL_UNLOCK</t>
  </si>
  <si>
    <t>Door front driver lock</t>
  </si>
  <si>
    <t>DL_DOOR_FD_LOCK</t>
  </si>
  <si>
    <t>Door front driver unlock</t>
  </si>
  <si>
    <t>DL_DOOR_FD_UNLOCK</t>
  </si>
  <si>
    <t>Door front passenger lock</t>
  </si>
  <si>
    <t>DL_DOOR_FP_LOCK</t>
  </si>
  <si>
    <t>Door front passenger unlock</t>
  </si>
  <si>
    <t>DL_DOOR_FP_UNLOCK</t>
  </si>
  <si>
    <t>Door rear passenger lock</t>
  </si>
  <si>
    <t>DL_DOOR_RP_LOCK</t>
  </si>
  <si>
    <t>Door rear passenger unlock</t>
  </si>
  <si>
    <t>DL_DOOR_RP_UNLOCK</t>
  </si>
  <si>
    <t>Door rear driver lock</t>
  </si>
  <si>
    <t>DL_DOOR_RD_LOCK</t>
  </si>
  <si>
    <t>Door rear driver unlock</t>
  </si>
  <si>
    <t>DL_DOOR_RD_UNLOCK</t>
  </si>
  <si>
    <t xml:space="preserve">Handle front driver </t>
  </si>
  <si>
    <t>DL_HANDLE_FD</t>
  </si>
  <si>
    <t xml:space="preserve">Handle front passenger </t>
  </si>
  <si>
    <t>DL_HANDLE_FP</t>
  </si>
  <si>
    <t xml:space="preserve">Handle rear passenger </t>
  </si>
  <si>
    <t>DL_HANDLE_RP</t>
  </si>
  <si>
    <t xml:space="preserve">Handle rear driver </t>
  </si>
  <si>
    <t>DL_HANDLE_RD</t>
  </si>
  <si>
    <t xml:space="preserve">handle trunk </t>
  </si>
  <si>
    <t>DL_HANDLE_TRUNK</t>
  </si>
  <si>
    <t>Handle front driver idle</t>
  </si>
  <si>
    <t>DL_HANDLE_FD_IDLE</t>
  </si>
  <si>
    <t>Handle front driver lock</t>
  </si>
  <si>
    <t>DL_HANDLE_FD_LOCK</t>
  </si>
  <si>
    <t>Handle front driver lock hold</t>
  </si>
  <si>
    <t>DL_HANDLE_FD_LOCK_HOLD</t>
  </si>
  <si>
    <t>Handle front driver unlock</t>
  </si>
  <si>
    <t>Handle front driver unlock hold</t>
  </si>
  <si>
    <t>DL_HANDLE_FD_UNLOCK_HOLD</t>
  </si>
  <si>
    <t>Handle front passenger idle</t>
  </si>
  <si>
    <t>DL_HANDLE_FP_IDLE</t>
  </si>
  <si>
    <t>Handle front passenger lock</t>
  </si>
  <si>
    <t>DL_HANDLE_FP_LOCK</t>
  </si>
  <si>
    <t>Handle front passenger lock hold</t>
  </si>
  <si>
    <t>DL_HANDLE_FP_LOCK_HOLD</t>
  </si>
  <si>
    <t>Handle front passenger unlock</t>
  </si>
  <si>
    <t>DL_HANDLE_FP_UNLOCK</t>
  </si>
  <si>
    <t>Handle rear passenger idle</t>
  </si>
  <si>
    <t>DL_HANDLE_RP_IDLE</t>
  </si>
  <si>
    <t>Handle rear passenger lock</t>
  </si>
  <si>
    <t>DL_HANDLE_RP_LOCK</t>
  </si>
  <si>
    <t>Handle rear passenger unlock</t>
  </si>
  <si>
    <t>DL_HANDLE_RP_UNLOCK</t>
  </si>
  <si>
    <t>Handle rear driver idle</t>
  </si>
  <si>
    <t>DL_HANDLE_RD_IDLE</t>
  </si>
  <si>
    <t>Handle rear driver lock</t>
  </si>
  <si>
    <t>DL_HANDLE_RD_LOCK</t>
  </si>
  <si>
    <t>Handle rear driver unlock</t>
  </si>
  <si>
    <t>DL_HANDLE_RD_UNLOCK</t>
  </si>
  <si>
    <t>handle trunk  idle</t>
  </si>
  <si>
    <t>DL_HANDLE_TRUNK_IDLE</t>
  </si>
  <si>
    <t>handle trunk  lock</t>
  </si>
  <si>
    <t>DL_HANDLE_TRUNK_LOCK</t>
  </si>
  <si>
    <t>handle trunk unlock</t>
  </si>
  <si>
    <t>DL_HANDLE_TRUNK_UNLOCK</t>
  </si>
  <si>
    <t>handle trunk button close</t>
  </si>
  <si>
    <t>DL_HANDLE_TRUNK_BUTTON_CLOSE</t>
  </si>
  <si>
    <t>handle trunk button open</t>
  </si>
  <si>
    <t>DL_HANDLE_TRUNK_BUTTON_OPEN</t>
  </si>
  <si>
    <t>Trunk lock</t>
  </si>
  <si>
    <t>DL_TRUNK_LOCK</t>
  </si>
  <si>
    <t>Trunk unlock</t>
  </si>
  <si>
    <t>DL_TRUNK_UNLOCK</t>
  </si>
  <si>
    <t>Alarm disarm</t>
  </si>
  <si>
    <t>SEC_ALARM_DISARM</t>
  </si>
  <si>
    <t>Alarm disarm temp</t>
  </si>
  <si>
    <t>SEC_ALARM_DISARM_TEMP</t>
  </si>
  <si>
    <t>Alarm arming</t>
  </si>
  <si>
    <t>SEC_ALARM_ARMING</t>
  </si>
  <si>
    <t>alarm armed</t>
  </si>
  <si>
    <t>SEC_ALARM_ARMED</t>
  </si>
  <si>
    <t>alarm triggered</t>
  </si>
  <si>
    <t>SEC_ALARM_TRIGGERED</t>
  </si>
  <si>
    <t>security light on</t>
  </si>
  <si>
    <t>SEC_LIGHT_ON</t>
  </si>
  <si>
    <t>security light off</t>
  </si>
  <si>
    <t>SEC_LIGHT_OFF</t>
  </si>
  <si>
    <t>Brake switch off</t>
  </si>
  <si>
    <t>SAF_BRAKE_SWITCH_OFF</t>
  </si>
  <si>
    <t>Brake switch on</t>
  </si>
  <si>
    <t>SAF_BRAKE_SWITCH_ON</t>
  </si>
  <si>
    <t>Emergency brake off</t>
  </si>
  <si>
    <t>SAF_EMERGENCY_BRAKE_OFF</t>
  </si>
  <si>
    <t>Emergency brake on</t>
  </si>
  <si>
    <t>SAF_EMERGENCY_BRAKE_ON</t>
  </si>
  <si>
    <t>Instrument cluster</t>
  </si>
  <si>
    <t>Ignition switch key out</t>
  </si>
  <si>
    <t>IGN_SW_KEY_OUT</t>
  </si>
  <si>
    <t>Ignition switch key in</t>
  </si>
  <si>
    <t>IGN_SW_KEY_IN</t>
  </si>
  <si>
    <t>Ignition switch acc</t>
  </si>
  <si>
    <t>IGN_SW_ACC</t>
  </si>
  <si>
    <t>Ignition switch ign</t>
  </si>
  <si>
    <t>IGN_SW_IGN</t>
  </si>
  <si>
    <t>Ignition switch start</t>
  </si>
  <si>
    <t>IGN_SW_START</t>
  </si>
  <si>
    <t>Ready light (hybrid mode)</t>
  </si>
  <si>
    <t>IGN_READY_LIGHT</t>
  </si>
  <si>
    <t>Odometre</t>
  </si>
  <si>
    <t>CLUS_ODO</t>
  </si>
  <si>
    <t>RPM</t>
  </si>
  <si>
    <t>CLUS_RPM</t>
  </si>
  <si>
    <t xml:space="preserve">Slidding door rear passenger position </t>
  </si>
  <si>
    <t>ENT_SLIDE_DOOR_RP_POSITION</t>
  </si>
  <si>
    <t xml:space="preserve">Slidding door rear driver position </t>
  </si>
  <si>
    <t>ENT_SLIDE_DOOR_RD_POSITION</t>
  </si>
  <si>
    <t>Trunk position</t>
  </si>
  <si>
    <t>ENT_TRUNK_POSITION</t>
  </si>
  <si>
    <t>trunk close button (for mothorized)</t>
  </si>
  <si>
    <t>ENT_TRUNK_CLOSE_BUTTON</t>
  </si>
  <si>
    <t>Trunk glass open</t>
  </si>
  <si>
    <t>ENT_TRUNK_GLASS_OPEN</t>
  </si>
  <si>
    <t>Trunk glass close</t>
  </si>
  <si>
    <t>ENT_TRUNK_GLASS_CLOSE</t>
  </si>
  <si>
    <t>Trunk sun viser open</t>
  </si>
  <si>
    <t>ENT_TRUNK_SUN_VISER_OPEN</t>
  </si>
  <si>
    <t>Trunk sun viser close</t>
  </si>
  <si>
    <t>ENT_TRUNK_SUN_VISER_CLOSE</t>
  </si>
  <si>
    <t>Gas cap open</t>
  </si>
  <si>
    <t>ENT_GAS_CAP_OPEN</t>
  </si>
  <si>
    <t>Gas cap close</t>
  </si>
  <si>
    <t>ENT_GAS_CAP_CLOSE</t>
  </si>
  <si>
    <t xml:space="preserve">sun roof front open </t>
  </si>
  <si>
    <t>ENT_SUNROOF_FRONT_OPEN</t>
  </si>
  <si>
    <t xml:space="preserve">sun roof front close </t>
  </si>
  <si>
    <t>ENT_SUNROOF_FRONT_CLOSE</t>
  </si>
  <si>
    <t>sun roof front tilt</t>
  </si>
  <si>
    <t>ENT_SUNROOF_FRONT_TILT</t>
  </si>
  <si>
    <t xml:space="preserve">Sun roof front position </t>
  </si>
  <si>
    <t>ENT_SUNROOF_FRONT_POSITION</t>
  </si>
  <si>
    <t>sun roof visor front open</t>
  </si>
  <si>
    <t>ENT_SUNROOF_VISOR_FRONT_OPEN</t>
  </si>
  <si>
    <t>sun roof visor front close</t>
  </si>
  <si>
    <t>ENT_SUNROOF_VISOR_FRONT_CLOSE</t>
  </si>
  <si>
    <t xml:space="preserve">sun roof rear open </t>
  </si>
  <si>
    <t>ENT_SUNROOF_REAR_OPEN</t>
  </si>
  <si>
    <t xml:space="preserve">sun roof rear close </t>
  </si>
  <si>
    <t>ENT_SUNROOF_REAR_CLOSE</t>
  </si>
  <si>
    <t>sun roof rear tilt</t>
  </si>
  <si>
    <t>ENT_SUNROOF_REAR_TILT</t>
  </si>
  <si>
    <t xml:space="preserve">Sun roof rear position </t>
  </si>
  <si>
    <t>ENT_SUNROOF_REAR_POSITION</t>
  </si>
  <si>
    <t>sun roof visor rear open</t>
  </si>
  <si>
    <t>ENT_SUNROOF_VISOR_REAR_OPEN</t>
  </si>
  <si>
    <t>sun roof visor rear close</t>
  </si>
  <si>
    <t>ENT_SUNROOF_VISOR_REAR_CLOSE</t>
  </si>
  <si>
    <t>Windows front driver   up</t>
  </si>
  <si>
    <t>ENT_WINDOWS_FD_UP</t>
  </si>
  <si>
    <t>Windows front driver   down</t>
  </si>
  <si>
    <t>ENT_WINDOWS_FD_DOWN</t>
  </si>
  <si>
    <t>Windows front passenger   up</t>
  </si>
  <si>
    <t>ENT_WINDOWS_FP_UP</t>
  </si>
  <si>
    <t>Windows front passenger   down</t>
  </si>
  <si>
    <t>ENT_WINDOWS_FP_DOWN</t>
  </si>
  <si>
    <t>Windows rear passenger   up</t>
  </si>
  <si>
    <t>ENT_WINDOWS_RP_UP</t>
  </si>
  <si>
    <t>Windows rear passenger   down</t>
  </si>
  <si>
    <t>ENT_WINDOWS_RP_DOWN</t>
  </si>
  <si>
    <t>Windows rear driver   up</t>
  </si>
  <si>
    <t>ENT_WINDOWS_RD_UP</t>
  </si>
  <si>
    <t>Windows rear dirver   down</t>
  </si>
  <si>
    <t>ENT_WINDOWS_RD_DOWN</t>
  </si>
  <si>
    <t>Windows trunk Up</t>
  </si>
  <si>
    <t>ENT_WINDOWS_TRUNK_UP</t>
  </si>
  <si>
    <t>Windows trunk down</t>
  </si>
  <si>
    <t>ENT_WINDOWS_TRUNK_DOWN</t>
  </si>
  <si>
    <t>Roof top close</t>
  </si>
  <si>
    <t>ENT_ROOFTOP_OPEN</t>
  </si>
  <si>
    <t>Roof top open</t>
  </si>
  <si>
    <t>ENT_ROOFTOP_CLOSE</t>
  </si>
  <si>
    <t>Roof top position</t>
  </si>
  <si>
    <t>ENT_ROOFTOP_POSITION</t>
  </si>
  <si>
    <t>gas cap lock</t>
  </si>
  <si>
    <t>DL_GAS_CAP_LOCK</t>
  </si>
  <si>
    <t>gas cap unlock</t>
  </si>
  <si>
    <t>DL_GAS_CAP_UNLOCK</t>
  </si>
  <si>
    <t>Auto relock delayed</t>
  </si>
  <si>
    <t>DL_AUTO_RELOCK_DELAYED</t>
  </si>
  <si>
    <t>Auto relock speed</t>
  </si>
  <si>
    <t>DL_AUTO_RELOCK_SPEED</t>
  </si>
  <si>
    <t>Auto relock geared</t>
  </si>
  <si>
    <t>DL_AUTO_RELOCK_GEARED</t>
  </si>
  <si>
    <t>central lock idle</t>
  </si>
  <si>
    <t>DL_CENTRAL_IDLE</t>
  </si>
  <si>
    <t>Central lock front driver lock</t>
  </si>
  <si>
    <t>DL_CENTRAL_FD_LOCK</t>
  </si>
  <si>
    <t>Central lock front driver unlock</t>
  </si>
  <si>
    <t>DL_CENTRAL_FD_UNLOCK</t>
  </si>
  <si>
    <t>Central lock front passenger lock</t>
  </si>
  <si>
    <t>DL_CENTRAL_FP_LOCK</t>
  </si>
  <si>
    <t>Central lock front passenger unlock</t>
  </si>
  <si>
    <t>DL_CENTRAL_FP_UNLOCK</t>
  </si>
  <si>
    <t>Key pad idle</t>
  </si>
  <si>
    <t>DL_KEYPAD_IDLE</t>
  </si>
  <si>
    <t>Keypad lock</t>
  </si>
  <si>
    <t>DL_KEYPAD_LOCK</t>
  </si>
  <si>
    <t>Keypad unlock</t>
  </si>
  <si>
    <t>DL_KEYPAD_UNLOCK</t>
  </si>
  <si>
    <t>Key pad button press detection ??? (I.E:1234..)</t>
  </si>
  <si>
    <t>DL_KEYPAD_BUTTON</t>
  </si>
  <si>
    <t>Keypad trunk</t>
  </si>
  <si>
    <t>DL_KEYPAD_TRUNK</t>
  </si>
  <si>
    <t>Barrel driver key in</t>
  </si>
  <si>
    <t>DL_BARREL_DRIVER_KEY_IN</t>
  </si>
  <si>
    <t>Barrel driver key out</t>
  </si>
  <si>
    <t>DL_BARREL_DRIVER_KEY_OUT</t>
  </si>
  <si>
    <t>Barrel driver lock</t>
  </si>
  <si>
    <t>DL_BARREL_DRIVER_LOCK</t>
  </si>
  <si>
    <t>Barrel driver lock hold</t>
  </si>
  <si>
    <t>DL_BARREL_DRIVER_LOCK_HOLD</t>
  </si>
  <si>
    <t>Barrel driver unlock</t>
  </si>
  <si>
    <t>DL_BARREL_DRIVER_UNLOCK</t>
  </si>
  <si>
    <t>Barrel driver unlock hold</t>
  </si>
  <si>
    <t>DL_BARREL_DRIVER_UNLOCK_HOLD</t>
  </si>
  <si>
    <t>Barrel passenger key in</t>
  </si>
  <si>
    <t>DL_BARREL_PASS_KEY_IN</t>
  </si>
  <si>
    <t>Barrel passenger key out</t>
  </si>
  <si>
    <t>DL_BARREL_PASS_KEY_OUT</t>
  </si>
  <si>
    <t>Barrel passenger lock</t>
  </si>
  <si>
    <t>DL_BARREL_PASS_LOCK</t>
  </si>
  <si>
    <t>Barrel passenger lock hold</t>
  </si>
  <si>
    <t>DL_BARREL_PASS_LOCK_HOLD</t>
  </si>
  <si>
    <t>Barrel passenger unlock</t>
  </si>
  <si>
    <t>DL_BARREL_PASS_UNLOCK</t>
  </si>
  <si>
    <t>Barrel passenger unlock hold</t>
  </si>
  <si>
    <t>DL_BARREL_PASS_UNLOCK_HOLD</t>
  </si>
  <si>
    <t>sterring actuator unlock Z+D142</t>
  </si>
  <si>
    <t>DL_HANDLE_FP_UNLOCK_HOLD</t>
  </si>
  <si>
    <t>handle pop glass  idle</t>
  </si>
  <si>
    <t>DL_HANDLE_POP_GLASS_IDLE</t>
  </si>
  <si>
    <t>handle pop glass  lock</t>
  </si>
  <si>
    <t>DL_HANDLE_POP_GLASS_LOCK</t>
  </si>
  <si>
    <t>handle pop glass unlock</t>
  </si>
  <si>
    <t>DL_HANDLE_POP_GLASS_UNLOCK</t>
  </si>
  <si>
    <t>folding mirror close</t>
  </si>
  <si>
    <t>DL_FOLD_MIRROR_CLOSE</t>
  </si>
  <si>
    <t>folding mirror open</t>
  </si>
  <si>
    <t>DL_FOLD_MIRROR_OPEN</t>
  </si>
  <si>
    <t>Glove compartment lock</t>
  </si>
  <si>
    <t>DL_GLOVE_COMP_LOCK</t>
  </si>
  <si>
    <t>Glove compartment unlock</t>
  </si>
  <si>
    <t>DL_GLOVE_COMP_UNLOCK</t>
  </si>
  <si>
    <t>Alarm light on</t>
  </si>
  <si>
    <t>SEC_ALARM_LIGHT_ON</t>
  </si>
  <si>
    <t>Alarm light off</t>
  </si>
  <si>
    <t>SEC_ALARM_LIGHT_OFF</t>
  </si>
  <si>
    <t>Alarm equiped</t>
  </si>
  <si>
    <t>SEC_ALARM_EQUIPED</t>
  </si>
  <si>
    <t>alarm shunt</t>
  </si>
  <si>
    <t>SEC_ALARM_SHUNT</t>
  </si>
  <si>
    <t>Occupancy front driver</t>
  </si>
  <si>
    <t>SEC_OCCUPANCY_FD</t>
  </si>
  <si>
    <t>Occupancy front passenger</t>
  </si>
  <si>
    <t>SEC_OCCUPANCY_FP</t>
  </si>
  <si>
    <t>Occupancy rear passenger</t>
  </si>
  <si>
    <t>SEC_OCCUPANCY_RP</t>
  </si>
  <si>
    <t>Occupancy rear driver</t>
  </si>
  <si>
    <t>SEC_OCCUPANCY_RD</t>
  </si>
  <si>
    <t>Auto relock ignition switch</t>
  </si>
  <si>
    <t>SEC_AUTO_RELOCK_IGN_SW</t>
  </si>
  <si>
    <t>OEM shock sensor</t>
  </si>
  <si>
    <t>SEC_OEM_SHOCK_SENSOR</t>
  </si>
  <si>
    <t>Bypass Challenge</t>
  </si>
  <si>
    <t>SEC_BYPASS_CHALLENGE</t>
  </si>
  <si>
    <t>Bypass Response</t>
  </si>
  <si>
    <t>SEC_BYPASS_RESPONSE</t>
  </si>
  <si>
    <t>Bypass accepted</t>
  </si>
  <si>
    <t>SEC_BYPASS_ACCEPTED</t>
  </si>
  <si>
    <t>Bypass rejected</t>
  </si>
  <si>
    <t>SEC_BYPASS_REJECTED</t>
  </si>
  <si>
    <t xml:space="preserve">sterring actuator lock </t>
  </si>
  <si>
    <t>SEC_STEER_LOCK</t>
  </si>
  <si>
    <t xml:space="preserve">sterring actuator unlock </t>
  </si>
  <si>
    <t>SEC_STEER_UNLOCK</t>
  </si>
  <si>
    <t>FOB location front driver</t>
  </si>
  <si>
    <t>FOB_LOC_FD</t>
  </si>
  <si>
    <t>FOB location front passenger</t>
  </si>
  <si>
    <t>FOB_LOC_FP</t>
  </si>
  <si>
    <t>FOB location rear passenger</t>
  </si>
  <si>
    <t>FOB_LOC_RP</t>
  </si>
  <si>
    <t>FOB location rear driver</t>
  </si>
  <si>
    <t>FOB_LOC_RD</t>
  </si>
  <si>
    <t>FOB location trunk</t>
  </si>
  <si>
    <t>FOB_LOC_TRUNK</t>
  </si>
  <si>
    <t>RKE_1 idle</t>
  </si>
  <si>
    <t>RKE_1_IDLE</t>
  </si>
  <si>
    <t>RKE_1 lock</t>
  </si>
  <si>
    <t>RKE_1_LOCK</t>
  </si>
  <si>
    <t>RKE_1 lock hold</t>
  </si>
  <si>
    <t>RKE_1_LOCK_HOLD</t>
  </si>
  <si>
    <t>RKE_1 unlock</t>
  </si>
  <si>
    <t>RKE_1_UNLOCK</t>
  </si>
  <si>
    <t>RKE_1 unlock all</t>
  </si>
  <si>
    <t>RKE_1_UNLOCK_ALL</t>
  </si>
  <si>
    <t>RKE_1 unlock hold</t>
  </si>
  <si>
    <t>RKE_1_UNLOCK_HOLD</t>
  </si>
  <si>
    <t>RKE_1 trunk</t>
  </si>
  <si>
    <t>RKE_1_TRUNK</t>
  </si>
  <si>
    <t>RKE_1 trunk hold</t>
  </si>
  <si>
    <t>RKE_1_TRUNK_HOLD</t>
  </si>
  <si>
    <t>RKE_1 panic</t>
  </si>
  <si>
    <t>RKE_1_PANIC</t>
  </si>
  <si>
    <t>RKE_1 driver slidding door</t>
  </si>
  <si>
    <t>RKE_1_DRIVER_SLIDE_DOOR</t>
  </si>
  <si>
    <t>RKE_1 passeger slidding door</t>
  </si>
  <si>
    <t>RKE_1_PASS_SLIDE_DOOR</t>
  </si>
  <si>
    <t>RKE_1 remote start</t>
  </si>
  <si>
    <t>RKE_1_REMOTE_START</t>
  </si>
  <si>
    <t>RKE_1 pop glass</t>
  </si>
  <si>
    <t>RKE_1_POP_GLASS</t>
  </si>
  <si>
    <t>RKE_2 idle</t>
  </si>
  <si>
    <t>RKE_2_IDLE</t>
  </si>
  <si>
    <t>RKE_2 lock</t>
  </si>
  <si>
    <t>RKE_2_LOCK</t>
  </si>
  <si>
    <t>RKE_2 lock hold</t>
  </si>
  <si>
    <t>RKE_2_LOCK_HOLD</t>
  </si>
  <si>
    <t>RKE_2 unlock all</t>
  </si>
  <si>
    <t>RKE_2_UNLOCK_ALL</t>
  </si>
  <si>
    <t>RKE_2 unlock</t>
  </si>
  <si>
    <t>RKE_2_UNLOCK</t>
  </si>
  <si>
    <t>RKE_2 unlock hold</t>
  </si>
  <si>
    <t>RKE_2_UNLOCK_HOLD</t>
  </si>
  <si>
    <t>RKE_2 trunk</t>
  </si>
  <si>
    <t>RKE_2_TRUNK</t>
  </si>
  <si>
    <t>RKE_2 trunk hold</t>
  </si>
  <si>
    <t>RKE_2_TRUNK_HOLD</t>
  </si>
  <si>
    <t>RKE_2 panic</t>
  </si>
  <si>
    <t>RKE_2_PANIC</t>
  </si>
  <si>
    <t>RKE_2 driver slidding door</t>
  </si>
  <si>
    <t>RKE_2_DRIVER_SLIDE_DOOR</t>
  </si>
  <si>
    <t>RKE_2 passeger slidding door</t>
  </si>
  <si>
    <t>RKE_2_PASS_SLIDE_DOOR</t>
  </si>
  <si>
    <t>RKE_2 remote start</t>
  </si>
  <si>
    <t>RKE_2_REMOTE_START</t>
  </si>
  <si>
    <t>RKE_2 pop glass</t>
  </si>
  <si>
    <t>RKE_2_POP_GLASS</t>
  </si>
  <si>
    <t>OEM remote start</t>
  </si>
  <si>
    <t>OEM remote start Lock</t>
  </si>
  <si>
    <t>OEM_REMOTE_START_LOCK</t>
  </si>
  <si>
    <t>OEM remote start unlock</t>
  </si>
  <si>
    <t>OEM_REMOTE_START_UNLOCK</t>
  </si>
  <si>
    <t>OEM remote start trunk</t>
  </si>
  <si>
    <t>OEM_REMOTE_START_TRUNK</t>
  </si>
  <si>
    <t>OEM remote start parking light</t>
  </si>
  <si>
    <t>OEM_REMOTE_START_PARK_LIGHTS</t>
  </si>
  <si>
    <t>OEM remote start detection</t>
  </si>
  <si>
    <t>OEM_REMOTE_START_DETECTION</t>
  </si>
  <si>
    <t>OEM remote start enable</t>
  </si>
  <si>
    <t>OEM_REMOTE_START_ENABLE</t>
  </si>
  <si>
    <t>OEM remote start disable</t>
  </si>
  <si>
    <t>OEM_REMOTE_START_DISABLE</t>
  </si>
  <si>
    <t>OEM remote start runtime</t>
  </si>
  <si>
    <t>OEM_REMOTE_START_RUNTIME</t>
  </si>
  <si>
    <t xml:space="preserve">OEM remote start climate control </t>
  </si>
  <si>
    <t>OEM_REMOTE_START_CLIMATE_CONTROL</t>
  </si>
  <si>
    <t>OEM remote start heated seat</t>
  </si>
  <si>
    <t>OEM_REMOTE_START_HEAT_SEAT</t>
  </si>
  <si>
    <t>OEM remote start cooling seat</t>
  </si>
  <si>
    <t>OEM_REMOTE_START_COOL_SEAT</t>
  </si>
  <si>
    <t>OEM remote start running status</t>
  </si>
  <si>
    <t>OEM_REMOTE_START_RUN_STATUS</t>
  </si>
  <si>
    <t>OEM remote start front defrost</t>
  </si>
  <si>
    <t>OEM_REMOTE_START_FRONT_DEFROST</t>
  </si>
  <si>
    <t>OEM remote start rear defrost</t>
  </si>
  <si>
    <t>OEM_REMOTE_START_REAR_DEFROST</t>
  </si>
  <si>
    <t>lighting</t>
  </si>
  <si>
    <t>light sensor</t>
  </si>
  <si>
    <t>LIGHT_SENSOR</t>
  </si>
  <si>
    <t>External lights off</t>
  </si>
  <si>
    <t>EXTERNAL_LIGHT_OFF</t>
  </si>
  <si>
    <t>External lights parking</t>
  </si>
  <si>
    <t>EXTERNAL_LIGHT_PARK</t>
  </si>
  <si>
    <t>External lights low beam</t>
  </si>
  <si>
    <t>EXTERNAL_LIGHT_LOW_BEAM</t>
  </si>
  <si>
    <t>External lights high beam</t>
  </si>
  <si>
    <t>EXTERNAL_LIGHT_HIGH_BEAM</t>
  </si>
  <si>
    <t>External lights front fog</t>
  </si>
  <si>
    <t>EXTERNAL_LIGHT_FRONT_FOG</t>
  </si>
  <si>
    <t>External lights rear fog</t>
  </si>
  <si>
    <t>EXTERNAL_LIGTH_REAR_FOG</t>
  </si>
  <si>
    <t>External lights left flasher</t>
  </si>
  <si>
    <t>EXTERNAL_LIGHT_LEFT_FLASHER</t>
  </si>
  <si>
    <t>External lights right flasher</t>
  </si>
  <si>
    <t>EXTERNAL_LIGHT_RIGHT_FLASHER</t>
  </si>
  <si>
    <t>External lights hazard</t>
  </si>
  <si>
    <t>EXTERNAL_LIGHT_HAZARD</t>
  </si>
  <si>
    <t>Dome light front off</t>
  </si>
  <si>
    <t>LIGHT_DOME_LIGHT_FRONT_ON</t>
  </si>
  <si>
    <t>Dome light front on</t>
  </si>
  <si>
    <t>LIGHT_DOME_LIGHT_FRONT_OFF</t>
  </si>
  <si>
    <t>Dome light front switch on</t>
  </si>
  <si>
    <t>LIGHT_DOME_LIGHT_FRONT_SW_ON</t>
  </si>
  <si>
    <t>Dome light front switch off</t>
  </si>
  <si>
    <t>LIGHT_DOME_LIGHT_FRONT_SW_OFF</t>
  </si>
  <si>
    <t>Dome light front switch  door</t>
  </si>
  <si>
    <t>LIGHT_DOME_LIGHT_FRONT_SWITCH_DOOR</t>
  </si>
  <si>
    <t>Dome light rear off</t>
  </si>
  <si>
    <t>LIGHT_DOME_LIGHT_REAR_OFF</t>
  </si>
  <si>
    <t>Dome light rear on</t>
  </si>
  <si>
    <t>LIGHT_DOME_LIGHT_REAR_ON</t>
  </si>
  <si>
    <t>Dome light rear switch  on</t>
  </si>
  <si>
    <t>LIGHT_DOME_LIGHT_REAR_SW_ON</t>
  </si>
  <si>
    <t>Dome light rear switch  off</t>
  </si>
  <si>
    <t>LIGHT_DOME_LIGHT_REAR_SW_OFF</t>
  </si>
  <si>
    <t>Dome light rear switch door</t>
  </si>
  <si>
    <t>LIGHT_DOME_LIGHT_REAR_SW_DOOR</t>
  </si>
  <si>
    <t>Dome light trunk off</t>
  </si>
  <si>
    <t>LIGHT_DOME_LIGHT_TRUNK_OFF</t>
  </si>
  <si>
    <t>Dome light trunk on</t>
  </si>
  <si>
    <t>LIGHT_DOME_LIGHT_TRUNK_ON</t>
  </si>
  <si>
    <t>Dome light trunk switch on</t>
  </si>
  <si>
    <t>LIGHT_DOME_LIGHT_TRUNK_SW_ON</t>
  </si>
  <si>
    <t>Dome light trunk switch  off</t>
  </si>
  <si>
    <t>LIGHT_DOME_LIGHT_TRUNK_SW_OFF</t>
  </si>
  <si>
    <t>Dome light trunk switch  door</t>
  </si>
  <si>
    <t>LIGHT_DOME_LIGHT_TRUNK_SW_DOOR</t>
  </si>
  <si>
    <t>reading light front driver on</t>
  </si>
  <si>
    <t>LIGHT_READ_LIGHT_FD_ON</t>
  </si>
  <si>
    <t>reading light front driver off</t>
  </si>
  <si>
    <t>LIGHT_READ_LIGHT_FD_OFF</t>
  </si>
  <si>
    <t>reading light front passenger on</t>
  </si>
  <si>
    <t>LIGHT_READ_LIGHT_FP_ON</t>
  </si>
  <si>
    <t>reading light front passenger off</t>
  </si>
  <si>
    <t>LIGHT_READ_LIGHT_FP_OFF</t>
  </si>
  <si>
    <t>reading light rear passenger on</t>
  </si>
  <si>
    <t>LIGHT_READ_LIGHT_RP_ON</t>
  </si>
  <si>
    <t>reading light rear passenger off</t>
  </si>
  <si>
    <t>LIGHT_READ_LIGHT_RP_OFF</t>
  </si>
  <si>
    <t>reading light rear driver on</t>
  </si>
  <si>
    <t>LIGHT_READ_LIGHT_RD_ON</t>
  </si>
  <si>
    <t>reading light rear driver off</t>
  </si>
  <si>
    <t>LIGHT_READ_LIGHT_RD_OFF</t>
  </si>
  <si>
    <t>Transaxle</t>
  </si>
  <si>
    <t>Gear selector PARK</t>
  </si>
  <si>
    <t>TRAN_GEAR_SEL_PARK</t>
  </si>
  <si>
    <t>Gear selector NEUTRAL</t>
  </si>
  <si>
    <t>TRAN_GEAR_SEL_NEUTRAL</t>
  </si>
  <si>
    <t>Gear selector DRIVE</t>
  </si>
  <si>
    <t>TRAN_GEAR_SEL_DRIVE</t>
  </si>
  <si>
    <t>Gear selector REVERSE</t>
  </si>
  <si>
    <t>TRAN_GEAR_SEL_REVERSE</t>
  </si>
  <si>
    <t>Gear selector manual mode (tiptronic)</t>
  </si>
  <si>
    <t>TRAN_GEAR_SEL_MANUAL_MODE</t>
  </si>
  <si>
    <t>Gear selector 1</t>
  </si>
  <si>
    <t>TRAN_GEAR_SEL_1</t>
  </si>
  <si>
    <t>Gear selector 2</t>
  </si>
  <si>
    <t>TRAN_GEAR_SEL_2</t>
  </si>
  <si>
    <t>Gear selector 3</t>
  </si>
  <si>
    <t>TRAN_GEAR_SEL_3</t>
  </si>
  <si>
    <t>Gear selector 4</t>
  </si>
  <si>
    <t>TRAN_GEAR_SEL_4</t>
  </si>
  <si>
    <t>Gear selector 5</t>
  </si>
  <si>
    <t>TRAN_GEAR_SEL_5</t>
  </si>
  <si>
    <t>Gear selector 6</t>
  </si>
  <si>
    <t>TRAN_GEAR_SEL_6</t>
  </si>
  <si>
    <t>Gear selector 7</t>
  </si>
  <si>
    <t>TRAN_GEAR_SEL_7</t>
  </si>
  <si>
    <t xml:space="preserve">Gear selector low </t>
  </si>
  <si>
    <t>TRAN_GEAR_SEL_OVERDRIVE</t>
  </si>
  <si>
    <t>Gear selector overdrive</t>
  </si>
  <si>
    <t>TRAN_GEAR_SEL_LOW</t>
  </si>
  <si>
    <t>gear selector all wheel drive (4x4)</t>
  </si>
  <si>
    <t>TRAN_GEAR_SEL_4X4</t>
  </si>
  <si>
    <t>gear selector all wheel drive (2x4 HI)</t>
  </si>
  <si>
    <t>TRAN_GEAR_SEL_2X4_HI</t>
  </si>
  <si>
    <t>gear selector all wheel drive (2x4 LO)</t>
  </si>
  <si>
    <t>TRAN_GEAR_SEL_2X4_LO</t>
  </si>
  <si>
    <t>towing mode on</t>
  </si>
  <si>
    <t>TRAN_TOWING_MODE_ON</t>
  </si>
  <si>
    <t>towing mode off</t>
  </si>
  <si>
    <t>TRAN_TOWING_MODE_OFF</t>
  </si>
  <si>
    <t>driving mode 1 (normal)</t>
  </si>
  <si>
    <t>TRAN_DRIVE_MODE_1</t>
  </si>
  <si>
    <t>driving mode 2 (economy)</t>
  </si>
  <si>
    <t>TRAN_DRIVE_MODE_2</t>
  </si>
  <si>
    <t>driving mode 3 (sport)</t>
  </si>
  <si>
    <t>TRAN_DRIVE_MODE_3</t>
  </si>
  <si>
    <t>Clutch switch off</t>
  </si>
  <si>
    <t>TRAN_CLUTCH_SW_ON</t>
  </si>
  <si>
    <t>Clutch switch on</t>
  </si>
  <si>
    <t>TRAN_CLUTCH_SW_OFF</t>
  </si>
  <si>
    <t>Cruise control on</t>
  </si>
  <si>
    <t>TRAN_CRUISE_CONT_ON</t>
  </si>
  <si>
    <t>Cruise control off</t>
  </si>
  <si>
    <t>TRAN_CRUISE_CONT_OFF</t>
  </si>
  <si>
    <t>Cruise control set</t>
  </si>
  <si>
    <t>TRAN_CRUISE_CONT_SET</t>
  </si>
  <si>
    <t>Cruise control cancel</t>
  </si>
  <si>
    <t>TRAN_CRUISE_CONT_CANCEL</t>
  </si>
  <si>
    <t>Cruise control resume</t>
  </si>
  <si>
    <t>TRAN_CRUISE_CONT_RESUME</t>
  </si>
  <si>
    <t>Cruise control speed up ( accelerate)</t>
  </si>
  <si>
    <t>TRAN_CRUISE_CONT_SPEED_UP</t>
  </si>
  <si>
    <t>Cruise control speed down (de-accelerate)</t>
  </si>
  <si>
    <t>TRAN_CRUISE_CONT_SPEED_DOWN</t>
  </si>
  <si>
    <t xml:space="preserve">comfort </t>
  </si>
  <si>
    <t>heated steering wheel off</t>
  </si>
  <si>
    <t>COMF_HEAT_STEER_WHEEL_ON</t>
  </si>
  <si>
    <t>heated steering wheel on</t>
  </si>
  <si>
    <t>COMF_HEAT_STEER_WHEEL_OFF</t>
  </si>
  <si>
    <t>mirror defrost</t>
  </si>
  <si>
    <t>COMF_MIRROR_DEFROST</t>
  </si>
  <si>
    <t>rear defrost</t>
  </si>
  <si>
    <t>COMF_REAR_DEFROST</t>
  </si>
  <si>
    <t>cabin air temperature front driver</t>
  </si>
  <si>
    <t>COMF_CABIN_AIR_TEMP_FD</t>
  </si>
  <si>
    <t>cabin air temperature front passenger</t>
  </si>
  <si>
    <t>COMF_CABIN_AIR_TEMP_FP</t>
  </si>
  <si>
    <t>cabin air temperature rear driver</t>
  </si>
  <si>
    <t>COMF_CABIN_AIR_TEMP_RD</t>
  </si>
  <si>
    <t>cabin air temperature rear passenger</t>
  </si>
  <si>
    <t>COMF_CABIN_AIR_TEMP_RP</t>
  </si>
  <si>
    <t>climate control remp setting front driver</t>
  </si>
  <si>
    <t>COMF_CLIMATE_CONT_REMP_SET_FD</t>
  </si>
  <si>
    <t>climate control remp setting front passenger</t>
  </si>
  <si>
    <t>COMF_CLIMATE_CONT_REMP_SET_FP</t>
  </si>
  <si>
    <t>climate control remp setting rear passenger</t>
  </si>
  <si>
    <t>COMF_CLIMATE_CONT_REMP_SET_RP</t>
  </si>
  <si>
    <t>climate control remp setting rear driver</t>
  </si>
  <si>
    <t>COMF_CLIMATE_CONT_REMP_SET_RD</t>
  </si>
  <si>
    <t>climate AC on</t>
  </si>
  <si>
    <t>COMF_CLIMATE_AC_ON</t>
  </si>
  <si>
    <t>climate AC off</t>
  </si>
  <si>
    <t>COMF_CLIMATE_AC_OFF</t>
  </si>
  <si>
    <t>climate Auto on</t>
  </si>
  <si>
    <t>COMF_CLIMATE_AUTO_ON</t>
  </si>
  <si>
    <t>climate Auto off</t>
  </si>
  <si>
    <t>COMF_CLIMATE_AUTO_OFF</t>
  </si>
  <si>
    <t>climate ventilation front fan  off</t>
  </si>
  <si>
    <t>COMF_CLIMATE_VENT_FRONT_FAN_OFF</t>
  </si>
  <si>
    <t>climate ventilation front fan lo</t>
  </si>
  <si>
    <t>COMF_CLIMATE_VENT_FRONT_FAN_LO</t>
  </si>
  <si>
    <t>climate ventilation front fan med</t>
  </si>
  <si>
    <t>COMF_CLIMATE_VENT_FRONT_FAN_MED</t>
  </si>
  <si>
    <t>climate ventilation front fan  hi</t>
  </si>
  <si>
    <t>COMF_CLIMATE_VENT_FRONT_FAN_HI</t>
  </si>
  <si>
    <t>climate ventilation rear fan  off</t>
  </si>
  <si>
    <t>COMF_CLIMATE_VENT_REAR_FAN_OFF</t>
  </si>
  <si>
    <t>climate ventilation rear fan lo</t>
  </si>
  <si>
    <t>COMF_CLIMATE_VENT_REAR_FAN_LO</t>
  </si>
  <si>
    <t>climate ventilation rear fan med</t>
  </si>
  <si>
    <t>COMF_CLIMATE_VENT_REAR_FAN_MED</t>
  </si>
  <si>
    <t>climate ventilation rear fan  hi</t>
  </si>
  <si>
    <t>COMF_CLIMATE_VENT_REAR_FAN_HI</t>
  </si>
  <si>
    <t>Heated seat front driver hi</t>
  </si>
  <si>
    <t>COMF_HEAT_SEAT_FD_HI</t>
  </si>
  <si>
    <t>Heated seat front driver med</t>
  </si>
  <si>
    <t>COMF_HEAT_SEAT_FD_MED</t>
  </si>
  <si>
    <t>Heated seat front driver lo</t>
  </si>
  <si>
    <t>COMF_HEAT_SEAT_FD_LO</t>
  </si>
  <si>
    <t>Heated seat front driver off</t>
  </si>
  <si>
    <t>COMF_HEAT_SEAT_FD_OFF</t>
  </si>
  <si>
    <t>Heated seat front passenger hi</t>
  </si>
  <si>
    <t>COMF_HEAT_SEAT_FP_HI</t>
  </si>
  <si>
    <t>Heated seat front passenger med</t>
  </si>
  <si>
    <t>COMF_HEAT_SEAT_FP_MED</t>
  </si>
  <si>
    <t>Heated seat front passenger lo</t>
  </si>
  <si>
    <t>COMF_HEAT_SEAT_FP_LO</t>
  </si>
  <si>
    <t>Heated seat front passenger off</t>
  </si>
  <si>
    <t>COMF_HEAT_SEAT_FP_OFF</t>
  </si>
  <si>
    <t>Heated seat rear passenger hi</t>
  </si>
  <si>
    <t>COMF_HEAT_SEAT_RP_HI</t>
  </si>
  <si>
    <t>Heated seat rear passenger med</t>
  </si>
  <si>
    <t>COMF_HEAT_SEAT_RP_MED</t>
  </si>
  <si>
    <t>Heated seat rear passenger lo</t>
  </si>
  <si>
    <t>COMF_HEAT_SEAT_RP_LO</t>
  </si>
  <si>
    <t>Heated seat rear passenger off</t>
  </si>
  <si>
    <t>COMF_HEAT_SEAT_RP_OFF</t>
  </si>
  <si>
    <t>Heated seat rear driver hi</t>
  </si>
  <si>
    <t>COMF_HEAT_SEAT_RD_HI</t>
  </si>
  <si>
    <t>Heated seat rear driver med</t>
  </si>
  <si>
    <t>COMF_HEAT_SEAT_RD_MED</t>
  </si>
  <si>
    <t>Heated seat rear driver lo</t>
  </si>
  <si>
    <t>COMF_HEAT_SEAT_RD_LO</t>
  </si>
  <si>
    <t>Heated seat rear driver off</t>
  </si>
  <si>
    <t>COMF_HEAT_SEAT_RD_OFF</t>
  </si>
  <si>
    <t>Cooling seat front driver hi</t>
  </si>
  <si>
    <t>COMF_COOL_SEAT_FD_HI</t>
  </si>
  <si>
    <t>Cooling seat front driver med</t>
  </si>
  <si>
    <t>COMF_COOL_SEAT_FD_MED</t>
  </si>
  <si>
    <t>Cooling seat front driver lo</t>
  </si>
  <si>
    <t>COMF_COOL_SEAT_FD_LO</t>
  </si>
  <si>
    <t>Cooling seat front driver off</t>
  </si>
  <si>
    <t>COMF_COOL_SEAT_FD_OFF</t>
  </si>
  <si>
    <t>Cooling seat front passenger hi</t>
  </si>
  <si>
    <t>COMF_COOL_SEAT_FP_HI</t>
  </si>
  <si>
    <t>Cooling seat front passenger med</t>
  </si>
  <si>
    <t>COMF_COOL_SEAT_FP_MED</t>
  </si>
  <si>
    <t>Cooling seat front passenger lo</t>
  </si>
  <si>
    <t>COMF_COOL_SEAT_FP_LO</t>
  </si>
  <si>
    <t>Cooling seat front passenger off</t>
  </si>
  <si>
    <t>COMF_COOL_SEAT_FP_OFF</t>
  </si>
  <si>
    <t>Cooling seat rear passenger hi</t>
  </si>
  <si>
    <t>COMF_COOL_SEAT_RP_HI</t>
  </si>
  <si>
    <t>Cooling seat rear passenger med</t>
  </si>
  <si>
    <t>COMF_COOL_SEAT_RP_MED</t>
  </si>
  <si>
    <t>Cooling seat rear passenger lo</t>
  </si>
  <si>
    <t>COMF_COOL_SEAT_RP_LO</t>
  </si>
  <si>
    <t>Cooling seat rear passenger off</t>
  </si>
  <si>
    <t>COMF_COOL_SEAT_RP_OFF</t>
  </si>
  <si>
    <t>Cooling seat rear driver hi</t>
  </si>
  <si>
    <t>COMF_COOL_SEAT_RD_HI</t>
  </si>
  <si>
    <t>Cooling seat rear driver med</t>
  </si>
  <si>
    <t>COMF_COOL_SEAT_RD_MED</t>
  </si>
  <si>
    <t>Cooling seat rear driver lo</t>
  </si>
  <si>
    <t>COMF_COOL_SEAT_RD_LO</t>
  </si>
  <si>
    <t>Cooling seat rear driver off</t>
  </si>
  <si>
    <t>COMF_COOL_SEAT_RD_OFF</t>
  </si>
  <si>
    <t>rain sensor on</t>
  </si>
  <si>
    <t>COMF_RAIN_SENSOR_ON</t>
  </si>
  <si>
    <t>rain sensor off</t>
  </si>
  <si>
    <t>COMF_RAIN_SENSOR_OFF</t>
  </si>
  <si>
    <t xml:space="preserve">Driver 1 setting </t>
  </si>
  <si>
    <t>COMF_DRIVER_1_SET</t>
  </si>
  <si>
    <t xml:space="preserve">Driver 2 setting </t>
  </si>
  <si>
    <t>COMF_DRIVER_2_SET</t>
  </si>
  <si>
    <t xml:space="preserve">Driver 3 setting </t>
  </si>
  <si>
    <t>COMF_DRIVER_3_SET</t>
  </si>
  <si>
    <t xml:space="preserve">Driver 4 setting </t>
  </si>
  <si>
    <t>COMF_DRIVER_4_SET</t>
  </si>
  <si>
    <t>Wiper front on</t>
  </si>
  <si>
    <t>COMF_WIPER_FRONT_ON</t>
  </si>
  <si>
    <t>Wiper front off</t>
  </si>
  <si>
    <t>COMF_WIPER_FRONT_OFF</t>
  </si>
  <si>
    <t>wiper auto</t>
  </si>
  <si>
    <t>COMF_WIPER_AUTO</t>
  </si>
  <si>
    <t>wiper speed 1</t>
  </si>
  <si>
    <t>COMF_WIPER_SPEED_1</t>
  </si>
  <si>
    <t>Wiper speed 2</t>
  </si>
  <si>
    <t>COMF_WIPER_SPEED_2</t>
  </si>
  <si>
    <t>Wiper speed 3</t>
  </si>
  <si>
    <t>COMF_WIPER_SPEED_3</t>
  </si>
  <si>
    <t>Wiper speed 4</t>
  </si>
  <si>
    <t>COMF_WIPER_SPEED_4</t>
  </si>
  <si>
    <t>wiper temp</t>
  </si>
  <si>
    <t>COMF_WIPER_TEMP</t>
  </si>
  <si>
    <t>Wiper rear on</t>
  </si>
  <si>
    <t>COMF_WIPER_REAR_ON</t>
  </si>
  <si>
    <t>Wiper rear off</t>
  </si>
  <si>
    <t>COMF_WIPER_REAR_OFF</t>
  </si>
  <si>
    <t>Safety</t>
  </si>
  <si>
    <t>TPMS front driver</t>
  </si>
  <si>
    <t>SAF_TPMS_FD</t>
  </si>
  <si>
    <t>TPMS front passenger</t>
  </si>
  <si>
    <t>SAF_TPMS_FP</t>
  </si>
  <si>
    <t>TPMS rear passenger</t>
  </si>
  <si>
    <t>SAF_TPMS_RP</t>
  </si>
  <si>
    <t>TPMS rear driver</t>
  </si>
  <si>
    <t>SAF_TPMS_RD</t>
  </si>
  <si>
    <t>TPMS light on</t>
  </si>
  <si>
    <t>SAF_TPMS_LIGHT_ON</t>
  </si>
  <si>
    <t>TPMS light off</t>
  </si>
  <si>
    <t>SAF_TPMS_LIGHT_OFF</t>
  </si>
  <si>
    <t>OIL pressure light on</t>
  </si>
  <si>
    <t>SAF_OIL_PRESSURE_LIGHT_ON</t>
  </si>
  <si>
    <t>OIL pressure light off</t>
  </si>
  <si>
    <t>SAF_OIL_PRESSURE_LIGHT_OFF</t>
  </si>
  <si>
    <t>DTC ON</t>
  </si>
  <si>
    <t>SAF_DTC_ON</t>
  </si>
  <si>
    <t>ABS on</t>
  </si>
  <si>
    <t>SAF_ABS_ON</t>
  </si>
  <si>
    <t>ABS off</t>
  </si>
  <si>
    <t>SAF_ABS_OFF</t>
  </si>
  <si>
    <t>Traction control on</t>
  </si>
  <si>
    <t>SAF_TRACTION_CONTROL_ON</t>
  </si>
  <si>
    <t>Traction control off</t>
  </si>
  <si>
    <t>SAF_TRACTION_CONTROL_OFF</t>
  </si>
  <si>
    <t>Active cruise control on</t>
  </si>
  <si>
    <t>SAF_ACTIVE_CRUISE_CONT_ON</t>
  </si>
  <si>
    <t>Active cruise control off</t>
  </si>
  <si>
    <t>SAF_ACTIVE_CRUISE_CONT_OFF</t>
  </si>
  <si>
    <t>Active cruise control front detection</t>
  </si>
  <si>
    <t>SAF_ACTIVE_CRUISE_CONT_FRONT_DETEC</t>
  </si>
  <si>
    <t>Line detection on</t>
  </si>
  <si>
    <t>SAF_LINE_DETEC_ON</t>
  </si>
  <si>
    <t>Line detection off</t>
  </si>
  <si>
    <t>SAF_LINE_DETEC_OFF</t>
  </si>
  <si>
    <t xml:space="preserve">Line detection left </t>
  </si>
  <si>
    <t>SAF_LINE_DETEC_LEFT</t>
  </si>
  <si>
    <t xml:space="preserve">Line detection right </t>
  </si>
  <si>
    <t>SAF_LINE_DETEC_RIGHT</t>
  </si>
  <si>
    <t>blind spot detection off</t>
  </si>
  <si>
    <t>SAF_BLIND_SPOT_DETEC_OFF</t>
  </si>
  <si>
    <t>blind spot detection on</t>
  </si>
  <si>
    <t>SAF_BLIND_SPOT_DETEC_ON</t>
  </si>
  <si>
    <t>Blind spot detection left</t>
  </si>
  <si>
    <t>SAF_BLIND_SPOT_DETEC_LEFT</t>
  </si>
  <si>
    <t>Blind spot detection right</t>
  </si>
  <si>
    <t>SAF_BLIND_SPOT_DETEC_RIGHT</t>
  </si>
  <si>
    <t>Rear camera on</t>
  </si>
  <si>
    <t>SAF_REAR_CAM_ON</t>
  </si>
  <si>
    <t>Rear camera off</t>
  </si>
  <si>
    <t>SAF_REAR_CAM_OFF</t>
  </si>
  <si>
    <t>Rear camera video signal</t>
  </si>
  <si>
    <t>SAF_REAR_CAM_VID_SIG</t>
  </si>
  <si>
    <t>Front camera on</t>
  </si>
  <si>
    <t>SAF_FRONT_CAM_ON</t>
  </si>
  <si>
    <t>Front camera off</t>
  </si>
  <si>
    <t>SAF_FRONT_CAM_OFF</t>
  </si>
  <si>
    <t>Front camera video signal</t>
  </si>
  <si>
    <t>SAF_FRONT_CAM_VID_SIG</t>
  </si>
  <si>
    <t>parking assist back up sensor</t>
  </si>
  <si>
    <t>SAF_PARK_ASSIST_BACK_UP_SENSOR</t>
  </si>
  <si>
    <t>parking assist front sensor</t>
  </si>
  <si>
    <t>SAF_PARK_ASSIST_FRONT_SENSOR</t>
  </si>
  <si>
    <t>parking assist left sensor</t>
  </si>
  <si>
    <t>SAF_PARK_ASSIST_LEFT_SENSOR</t>
  </si>
  <si>
    <t>parking assist right sensor</t>
  </si>
  <si>
    <t>SAF_PARK_ASSIST_RIGHT_SENSOR</t>
  </si>
  <si>
    <t>parking assist parrallel parking on</t>
  </si>
  <si>
    <t>SAF_PARK_ASSIST_PARALLEL_PARK_ON</t>
  </si>
  <si>
    <t>parking assist parrallel parking off</t>
  </si>
  <si>
    <t>SAF_PARK_ASSIST_PARRALEL_PARK_OFF</t>
  </si>
  <si>
    <t>Brake pressure switch</t>
  </si>
  <si>
    <t>SAF_BRAKE_PRESSURE_SWITCH</t>
  </si>
  <si>
    <t>Horn on</t>
  </si>
  <si>
    <t>SAF_HORN_ON</t>
  </si>
  <si>
    <t>Horn off</t>
  </si>
  <si>
    <t>SAF_HORN_OFF</t>
  </si>
  <si>
    <t>tilt sensor</t>
  </si>
  <si>
    <t>SAF_TILT_SENSOR</t>
  </si>
  <si>
    <t>air bag deployed</t>
  </si>
  <si>
    <t>SAF_AIRBAG_DEPLOYED</t>
  </si>
  <si>
    <t>SRS (Supplemental Restraint System) light on</t>
  </si>
  <si>
    <t>SAF_SRS_LIGHT_ON</t>
  </si>
  <si>
    <t>SRS (Supplemental Restraint System) light off</t>
  </si>
  <si>
    <t>SAF_SRS_LIGHT_OFF</t>
  </si>
  <si>
    <t>seatbelt front driver</t>
  </si>
  <si>
    <t>SAF_SEATBELT_FD</t>
  </si>
  <si>
    <t>seatbelt front passenger</t>
  </si>
  <si>
    <t>SAF_SEATBELT_FP</t>
  </si>
  <si>
    <t>seatbelt rear passenger</t>
  </si>
  <si>
    <t>SAF_SEATBELT_RP</t>
  </si>
  <si>
    <t>seatbelt rear driver</t>
  </si>
  <si>
    <t>SAF_SEATBELT_RD</t>
  </si>
  <si>
    <t>seatbelt extra passenger(s)</t>
  </si>
  <si>
    <t>SAF_SEATBELT_OTHER_PASS</t>
  </si>
  <si>
    <t>seat occupent sensor front driver</t>
  </si>
  <si>
    <t>SAF_SEAT_OCC_FD</t>
  </si>
  <si>
    <t>seat occupent sensor front passenger</t>
  </si>
  <si>
    <t>SAF_SEAT_OCC_FP</t>
  </si>
  <si>
    <t>seat occupent sensor rear passenger</t>
  </si>
  <si>
    <t>SAF_SEAT_OCC_RP</t>
  </si>
  <si>
    <t>seat occupent sensor rear driver</t>
  </si>
  <si>
    <t>SAF_SEAT_OCC_RD</t>
  </si>
  <si>
    <t>seat occupent sensor extra passenger(s)</t>
  </si>
  <si>
    <t>SAF_SEAT_OCC_OTHER_PASS</t>
  </si>
  <si>
    <t>Ignition switch</t>
  </si>
  <si>
    <t>Tumbler switch</t>
  </si>
  <si>
    <t>IGN_TUMBLER_SW</t>
  </si>
  <si>
    <t xml:space="preserve">PTS button press </t>
  </si>
  <si>
    <t>IGN_PTS_BUTTON_PRESS</t>
  </si>
  <si>
    <t>PTS button release</t>
  </si>
  <si>
    <t>IGN_PTS_BUTTON_RELEASE</t>
  </si>
  <si>
    <t>Instrument Cluster</t>
  </si>
  <si>
    <t>SPEED</t>
  </si>
  <si>
    <t>CLUS_SPEED</t>
  </si>
  <si>
    <t>odometer trip A</t>
  </si>
  <si>
    <t>CLUS_ODO_TRIP_A</t>
  </si>
  <si>
    <t>odometer trip B</t>
  </si>
  <si>
    <t>CLUS_ODO_TRIP_B</t>
  </si>
  <si>
    <t>batterie voltage</t>
  </si>
  <si>
    <t>CLUS_VBAT</t>
  </si>
  <si>
    <t>injector duty cycle</t>
  </si>
  <si>
    <t>CLUS_INJ_DUTY_CYCLE</t>
  </si>
  <si>
    <t>ignition spark advance timming</t>
  </si>
  <si>
    <t>CLUS_SPARK_ADV_TIME</t>
  </si>
  <si>
    <t>engine turbo pressure (psi)</t>
  </si>
  <si>
    <t>CLUS_TURBO_PRESS</t>
  </si>
  <si>
    <t>Mass Air flow sensor</t>
  </si>
  <si>
    <t>CLUS_AIR_FLOW</t>
  </si>
  <si>
    <t>Manifold Absolute Pressure</t>
  </si>
  <si>
    <t>CLUS_MANIFOLD_PRESS</t>
  </si>
  <si>
    <t>Oxygen sensor</t>
  </si>
  <si>
    <t>CLUS_OXYGEN</t>
  </si>
  <si>
    <t>engine torque</t>
  </si>
  <si>
    <t>CLUS_TORQUE</t>
  </si>
  <si>
    <t>fuel consumption average(l/100km)</t>
  </si>
  <si>
    <t>CLUS_FUEL_CONS_AVG</t>
  </si>
  <si>
    <t>fuel consumption instant(l/100km)</t>
  </si>
  <si>
    <t>CLUS_FUEL_CONS_INST</t>
  </si>
  <si>
    <t>fuel distance remaining</t>
  </si>
  <si>
    <t>CLUS_FUEL_REM_DISTANCE</t>
  </si>
  <si>
    <t>Fuel level</t>
  </si>
  <si>
    <t>CLUS_FUEL_LEVEL</t>
  </si>
  <si>
    <t>coolant temperature</t>
  </si>
  <si>
    <t>CLUS_COOLANT_TEMP</t>
  </si>
  <si>
    <t>intake air temperature</t>
  </si>
  <si>
    <t>CLUS_INTAKE_TEMP</t>
  </si>
  <si>
    <t>outside air temperature</t>
  </si>
  <si>
    <t>CLUS_OUTDOOR_TEMP</t>
  </si>
  <si>
    <t>Accelerator pedal position sensor</t>
  </si>
  <si>
    <t>CLUS_ACCEL_PEDAL_POS</t>
  </si>
  <si>
    <t>Throttle position sensor</t>
  </si>
  <si>
    <t>CLUS_THROTTLE_POS</t>
  </si>
  <si>
    <t>Glow plug on</t>
  </si>
  <si>
    <t>CLUS_GLOWPLUG_ON</t>
  </si>
  <si>
    <t>Glow plug off</t>
  </si>
  <si>
    <t>CLUS_GLOWPLUG_OFF</t>
  </si>
  <si>
    <t>Multimedia</t>
  </si>
  <si>
    <t>Miscellaneous</t>
  </si>
  <si>
    <t>power converter on (120 AC)</t>
  </si>
  <si>
    <t>MISC_PWR_CONVERT_ON</t>
  </si>
  <si>
    <t>power converter off (120 AC)</t>
  </si>
  <si>
    <t>MISC_PWR_CONVERT_OFF</t>
  </si>
  <si>
    <t>garage door controler 1</t>
  </si>
  <si>
    <t>MISC_GARAGE_DOOR_CTRL_1</t>
  </si>
  <si>
    <t>garage door controler 2</t>
  </si>
  <si>
    <t>MISC_GARAGE_DOOR_CTRL_2</t>
  </si>
  <si>
    <t>garage door controler 3</t>
  </si>
  <si>
    <t>MISC_GARAGE_DOOR_CTRL_3</t>
  </si>
  <si>
    <t>VIN PART 1</t>
  </si>
  <si>
    <t>MISC_VIN_1</t>
  </si>
  <si>
    <t>VIN PART 2</t>
  </si>
  <si>
    <t>MISC_VIN_2</t>
  </si>
  <si>
    <t>VIN PART 3</t>
  </si>
  <si>
    <t>MISC_VIN_3</t>
  </si>
  <si>
    <t>0x0B</t>
  </si>
  <si>
    <t>0x0C</t>
  </si>
  <si>
    <t>0x0D</t>
  </si>
  <si>
    <t>Security</t>
  </si>
  <si>
    <t>0x0F</t>
  </si>
  <si>
    <t>0x0E</t>
  </si>
  <si>
    <t>0x11</t>
  </si>
  <si>
    <t>0x12</t>
  </si>
  <si>
    <t>0x13</t>
  </si>
  <si>
    <t>0x14</t>
  </si>
  <si>
    <t>0x15</t>
  </si>
  <si>
    <t>0x0303</t>
  </si>
  <si>
    <t>0x001</t>
  </si>
  <si>
    <t>AGGREGATED_SENSE</t>
  </si>
  <si>
    <t>0x17</t>
  </si>
  <si>
    <t>0x02</t>
  </si>
  <si>
    <t>0x04</t>
  </si>
  <si>
    <t>0x08</t>
  </si>
  <si>
    <t>0x20</t>
  </si>
  <si>
    <t>0x40</t>
  </si>
  <si>
    <t>0x80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</si>
</sst>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b/>
      <sz val="11"/>
      <color rgb="FF3F3F3F"/>
      <name val="Calibri"/>
      <family val="2"/>
      <scheme val="minor"/>
    </font>
    <font>
      <b/>
      <sz val="11"/>
      <color theme="1"/>
      <name val="Calibri"/>
      <family val="2"/>
      <scheme val="minor"/>
    </font>
    <font>
      <sz val="11"/>
      <color theme="1"/>
      <name val="Calibri"/>
      <family val="2"/>
    </font>
    <font>
      <b/>
      <sz val="16"/>
      <color theme="1"/>
      <name val="Calibri"/>
      <family val="2"/>
      <scheme val="minor"/>
    </font>
    <font>
      <b/>
      <sz val="11"/>
      <color theme="0"/>
      <name val="Calibri"/>
      <family val="2"/>
      <scheme val="minor"/>
    </font>
    <font>
      <sz val="11"/>
      <color theme="0"/>
      <name val="Calibri"/>
      <family val="2"/>
      <scheme val="minor"/>
    </font>
    <font>
      <sz val="9"/>
      <color indexed="81"/>
      <name val="Tahoma"/>
      <family val="2"/>
    </font>
    <font>
      <b/>
      <sz val="9"/>
      <color indexed="81"/>
      <name val="Tahoma"/>
      <family val="2"/>
    </font>
    <font>
      <sz val="11"/>
      <color theme="0"/>
      <name val="Calibri"/>
      <family val="2"/>
    </font>
    <font>
      <sz val="12"/>
      <color theme="1"/>
      <name val="Calibri"/>
      <family val="2"/>
      <scheme val="minor"/>
    </font>
    <font>
      <sz val="24"/>
      <color theme="1"/>
      <name val="Calibri"/>
      <family val="2"/>
      <scheme val="minor"/>
    </font>
    <font>
      <sz val="24"/>
      <name val="Calibri"/>
      <family val="2"/>
      <scheme val="minor"/>
    </font>
    <font>
      <b/>
      <sz val="14"/>
      <color rgb="FF3F3F3F"/>
      <name val="Calibri"/>
      <family val="2"/>
      <scheme val="minor"/>
    </font>
    <font>
      <b/>
      <sz val="14"/>
      <color rgb="FF3F3F3F"/>
      <name val="Calibri"/>
      <family val="2"/>
    </font>
    <font>
      <sz val="11"/>
      <color rgb="FF3F3F3F"/>
      <name val="Calibri"/>
      <family val="2"/>
      <scheme val="minor"/>
    </font>
    <font>
      <sz val="14"/>
      <name val="Calibri"/>
      <family val="2"/>
      <scheme val="minor"/>
    </font>
    <font>
      <sz val="11"/>
      <name val="Calibri"/>
      <family val="2"/>
      <scheme val="minor"/>
    </font>
    <font>
      <sz val="11"/>
      <color theme="1"/>
      <name val="Calibri"/>
      <family val="2"/>
      <scheme val="minor"/>
    </font>
    <font>
      <b/>
      <sz val="11"/>
      <color rgb="FFFA7D00"/>
      <name val="Calibri"/>
      <family val="2"/>
      <scheme val="minor"/>
    </font>
    <font>
      <b/>
      <sz val="10"/>
      <color rgb="FF000000"/>
      <name val="Arial"/>
      <family val="2"/>
    </font>
    <font>
      <b/>
      <sz val="20"/>
      <color theme="1"/>
      <name val="Calibri"/>
      <family val="2"/>
      <scheme val="minor"/>
    </font>
    <font>
      <b/>
      <sz val="24"/>
      <color theme="1"/>
      <name val="Calibri"/>
      <family val="2"/>
      <scheme val="minor"/>
    </font>
    <font>
      <b/>
      <sz val="11"/>
      <color theme="1"/>
      <name val="Calibri"/>
      <family val="2"/>
    </font>
  </fonts>
  <fills count="17">
    <fill>
      <patternFill patternType="none"/>
    </fill>
    <fill>
      <patternFill patternType="gray125"/>
    </fill>
    <fill>
      <patternFill patternType="solid">
        <fgColor rgb="FFF2F2F2"/>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34998626667073579"/>
        <bgColor indexed="64"/>
      </patternFill>
    </fill>
    <fill>
      <patternFill patternType="solid">
        <fgColor rgb="FFA5A5A5"/>
      </patternFill>
    </fill>
    <fill>
      <patternFill patternType="solid">
        <fgColor rgb="FFFF0000"/>
        <bgColor indexed="64"/>
      </patternFill>
    </fill>
    <fill>
      <patternFill patternType="solid">
        <fgColor theme="8"/>
      </patternFill>
    </fill>
    <fill>
      <patternFill patternType="solid">
        <fgColor rgb="FFFFFFCC"/>
      </patternFill>
    </fill>
    <fill>
      <patternFill patternType="solid">
        <fgColor theme="8"/>
        <bgColor indexed="64"/>
      </patternFill>
    </fill>
    <fill>
      <patternFill patternType="solid">
        <fgColor rgb="FF0070C0"/>
        <bgColor indexed="64"/>
      </patternFill>
    </fill>
    <fill>
      <patternFill patternType="solid">
        <fgColor theme="0"/>
        <bgColor indexed="64"/>
      </patternFill>
    </fill>
    <fill>
      <patternFill patternType="solid">
        <fgColor indexed="22"/>
        <bgColor indexed="64"/>
      </patternFill>
    </fill>
    <fill>
      <patternFill patternType="solid">
        <fgColor indexed="10"/>
        <bgColor indexed="64"/>
      </patternFill>
    </fill>
  </fills>
  <borders count="24">
    <border>
      <left/>
      <right/>
      <top/>
      <bottom/>
      <diagonal/>
    </border>
    <border>
      <left style="thin">
        <color rgb="FF3F3F3F"/>
      </left>
      <right style="thin">
        <color rgb="FF3F3F3F"/>
      </right>
      <top style="thin">
        <color rgb="FF3F3F3F"/>
      </top>
      <bottom style="thin">
        <color rgb="FF3F3F3F"/>
      </bottom>
      <diagonal/>
    </border>
    <border>
      <left style="medium">
        <color indexed="64"/>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right/>
      <top/>
      <bottom style="thin">
        <color rgb="FF3F3F3F"/>
      </bottom>
      <diagonal/>
    </border>
    <border>
      <left style="thin">
        <color rgb="FF3F3F3F"/>
      </left>
      <right style="thin">
        <color rgb="FF3F3F3F"/>
      </right>
      <top style="thin">
        <color rgb="FF3F3F3F"/>
      </top>
      <bottom/>
      <diagonal/>
    </border>
    <border>
      <left style="thin">
        <color rgb="FF3F3F3F"/>
      </left>
      <right style="thin">
        <color rgb="FF3F3F3F"/>
      </right>
      <top/>
      <bottom/>
      <diagonal/>
    </border>
    <border>
      <left style="thin">
        <color rgb="FF3F3F3F"/>
      </left>
      <right style="thin">
        <color rgb="FF3F3F3F"/>
      </right>
      <top/>
      <bottom style="thin">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double">
        <color theme="4"/>
      </top>
      <bottom/>
      <diagonal/>
    </border>
    <border>
      <left/>
      <right/>
      <top/>
      <bottom style="thin">
        <color indexed="64"/>
      </bottom>
      <diagonal/>
    </border>
    <border>
      <left/>
      <right/>
      <top style="thin">
        <color rgb="FF3F3F3F"/>
      </top>
      <bottom/>
      <diagonal/>
    </border>
    <border>
      <left style="thin">
        <color rgb="FF7F7F7F"/>
      </left>
      <right/>
      <top style="thin">
        <color rgb="FF3F3F3F"/>
      </top>
      <bottom style="thin">
        <color rgb="FF7F7F7F"/>
      </bottom>
      <diagonal/>
    </border>
    <border>
      <left/>
      <right/>
      <top style="thin">
        <color rgb="FF3F3F3F"/>
      </top>
      <bottom style="thin">
        <color rgb="FF7F7F7F"/>
      </bottom>
      <diagonal/>
    </border>
    <border>
      <left/>
      <right style="thin">
        <color rgb="FF7F7F7F"/>
      </right>
      <top style="thin">
        <color rgb="FF3F3F3F"/>
      </top>
      <bottom style="thin">
        <color rgb="FF7F7F7F"/>
      </bottom>
      <diagonal/>
    </border>
    <border>
      <left style="thin">
        <color indexed="64"/>
      </left>
      <right style="thin">
        <color indexed="64"/>
      </right>
      <top style="thin">
        <color indexed="64"/>
      </top>
      <bottom style="thin">
        <color indexed="64"/>
      </bottom>
      <diagonal/>
    </border>
    <border>
      <left/>
      <right style="thin">
        <color rgb="FF3F3F3F"/>
      </right>
      <top style="thin">
        <color rgb="FF3F3F3F"/>
      </top>
      <bottom style="thin">
        <color rgb="FF3F3F3F"/>
      </bottom>
      <diagonal/>
    </border>
    <border>
      <left style="thin">
        <color rgb="FF7F7F7F"/>
      </left>
      <right/>
      <top style="thin">
        <color rgb="FF3F3F3F"/>
      </top>
      <bottom style="thin">
        <color rgb="FF3F3F3F"/>
      </bottom>
      <diagonal/>
    </border>
    <border>
      <left/>
      <right/>
      <top style="thin">
        <color rgb="FF3F3F3F"/>
      </top>
      <bottom style="thin">
        <color rgb="FF3F3F3F"/>
      </bottom>
      <diagonal/>
    </border>
    <border>
      <left/>
      <right style="thin">
        <color rgb="FF7F7F7F"/>
      </right>
      <top style="thin">
        <color rgb="FF3F3F3F"/>
      </top>
      <bottom style="thin">
        <color rgb="FF3F3F3F"/>
      </bottom>
      <diagonal/>
    </border>
    <border>
      <left/>
      <right/>
      <top/>
      <bottom style="double">
        <color theme="4"/>
      </bottom>
      <diagonal/>
    </border>
    <border>
      <left style="double">
        <color rgb="FF3F3F3F"/>
      </left>
      <right style="double">
        <color rgb="FF3F3F3F"/>
      </right>
      <top/>
      <bottom/>
      <diagonal/>
    </border>
  </borders>
  <cellStyleXfs count="7">
    <xf numFmtId="0" fontId="0" fillId="0" borderId="0"/>
    <xf numFmtId="0" fontId="1" fillId="2" borderId="1" applyNumberFormat="0" applyAlignment="0" applyProtection="0"/>
    <xf numFmtId="0" fontId="5" fillId="8" borderId="3" applyNumberFormat="0" applyAlignment="0" applyProtection="0"/>
    <xf numFmtId="0" fontId="2" fillId="0" borderId="8" applyNumberFormat="0" applyFill="0" applyAlignment="0" applyProtection="0"/>
    <xf numFmtId="0" fontId="19" fillId="2" borderId="9" applyNumberFormat="0" applyAlignment="0" applyProtection="0"/>
    <xf numFmtId="0" fontId="18" fillId="11" borderId="10" applyNumberFormat="0" applyFont="0" applyAlignment="0" applyProtection="0"/>
    <xf numFmtId="0" fontId="6" fillId="10" borderId="0" applyNumberFormat="0" applyBorder="0" applyAlignment="0" applyProtection="0"/>
  </cellStyleXfs>
  <cellXfs count="134">
    <xf numFmtId="0" fontId="0" fillId="0" borderId="0" xfId="0"/>
    <xf numFmtId="0" fontId="3" fillId="0" borderId="0" xfId="0" applyFont="1" applyFill="1" applyAlignment="1">
      <alignment horizontal="center" wrapText="1"/>
    </xf>
    <xf numFmtId="0" fontId="3" fillId="0" borderId="0" xfId="0" applyFont="1" applyFill="1" applyAlignment="1">
      <alignment horizontal="center" vertical="center" wrapText="1"/>
    </xf>
    <xf numFmtId="0" fontId="0" fillId="4" borderId="0" xfId="0" applyFill="1"/>
    <xf numFmtId="0" fontId="1" fillId="4" borderId="1" xfId="1" applyFill="1"/>
    <xf numFmtId="49" fontId="1" fillId="4" borderId="1" xfId="1" applyNumberFormat="1" applyFill="1" applyAlignment="1">
      <alignment horizontal="left" vertical="center"/>
    </xf>
    <xf numFmtId="49" fontId="0" fillId="0" borderId="0" xfId="0" applyNumberFormat="1"/>
    <xf numFmtId="0" fontId="0" fillId="0" borderId="0" xfId="0" applyAlignment="1">
      <alignment horizontal="center"/>
    </xf>
    <xf numFmtId="0" fontId="1" fillId="4" borderId="1" xfId="1" applyFill="1" applyAlignment="1">
      <alignment horizontal="center"/>
    </xf>
    <xf numFmtId="0" fontId="0" fillId="3" borderId="0" xfId="0" applyFill="1"/>
    <xf numFmtId="49" fontId="0" fillId="0" borderId="0" xfId="0" applyNumberFormat="1" applyFill="1" applyAlignment="1">
      <alignment horizontal="center" vertical="center"/>
    </xf>
    <xf numFmtId="0" fontId="0" fillId="4" borderId="2" xfId="0" applyFill="1" applyBorder="1"/>
    <xf numFmtId="0" fontId="0" fillId="0" borderId="0" xfId="0" applyFill="1"/>
    <xf numFmtId="0" fontId="4" fillId="6" borderId="2" xfId="0" applyFont="1" applyFill="1" applyBorder="1"/>
    <xf numFmtId="49" fontId="1" fillId="6" borderId="1" xfId="1" applyNumberFormat="1" applyFill="1" applyAlignment="1">
      <alignment horizontal="center" vertical="center"/>
    </xf>
    <xf numFmtId="49" fontId="1" fillId="6" borderId="1" xfId="1" applyNumberFormat="1" applyFill="1" applyAlignment="1">
      <alignment horizontal="left" vertical="center"/>
    </xf>
    <xf numFmtId="49" fontId="0" fillId="0" borderId="0" xfId="0" applyNumberFormat="1" applyAlignment="1">
      <alignment horizontal="left"/>
    </xf>
    <xf numFmtId="49" fontId="1" fillId="0" borderId="1" xfId="1" applyNumberFormat="1" applyFill="1" applyAlignment="1">
      <alignment horizontal="center" vertical="center"/>
    </xf>
    <xf numFmtId="49" fontId="1" fillId="4" borderId="1" xfId="1" applyNumberFormat="1" applyFill="1" applyAlignment="1">
      <alignment horizontal="left"/>
    </xf>
    <xf numFmtId="49" fontId="1" fillId="0" borderId="1" xfId="1" applyNumberFormat="1" applyFill="1"/>
    <xf numFmtId="0" fontId="0" fillId="7" borderId="0" xfId="0" applyFill="1"/>
    <xf numFmtId="49" fontId="1" fillId="0" borderId="1" xfId="1" applyNumberFormat="1" applyFill="1" applyAlignment="1">
      <alignment horizontal="center" vertical="center" wrapText="1"/>
    </xf>
    <xf numFmtId="0" fontId="5" fillId="8" borderId="3" xfId="2" applyFont="1" applyAlignment="1">
      <alignment horizontal="center"/>
    </xf>
    <xf numFmtId="0" fontId="5" fillId="8" borderId="3" xfId="2" applyAlignment="1">
      <alignment horizontal="center"/>
    </xf>
    <xf numFmtId="0" fontId="6" fillId="8" borderId="3" xfId="2" applyFont="1" applyAlignment="1">
      <alignment horizontal="center"/>
    </xf>
    <xf numFmtId="0" fontId="9" fillId="8" borderId="3" xfId="2" applyFont="1" applyAlignment="1">
      <alignment horizontal="center"/>
    </xf>
    <xf numFmtId="0" fontId="1" fillId="0" borderId="1" xfId="1" applyFill="1"/>
    <xf numFmtId="0" fontId="1" fillId="0" borderId="1" xfId="1" applyFill="1" applyAlignment="1">
      <alignment horizontal="center"/>
    </xf>
    <xf numFmtId="0" fontId="10" fillId="0" borderId="0" xfId="0" applyFont="1"/>
    <xf numFmtId="0" fontId="11" fillId="4" borderId="4" xfId="0" applyNumberFormat="1" applyFont="1" applyFill="1" applyBorder="1" applyAlignment="1">
      <alignment horizontal="left" vertical="center"/>
    </xf>
    <xf numFmtId="0" fontId="11" fillId="4" borderId="4" xfId="0" applyNumberFormat="1" applyFont="1" applyFill="1" applyBorder="1" applyAlignment="1">
      <alignment horizontal="center" vertical="center"/>
    </xf>
    <xf numFmtId="49" fontId="5" fillId="7" borderId="1" xfId="1" applyNumberFormat="1" applyFont="1" applyFill="1" applyAlignment="1">
      <alignment horizontal="center"/>
    </xf>
    <xf numFmtId="49" fontId="5" fillId="7" borderId="1" xfId="1" applyNumberFormat="1" applyFont="1" applyFill="1" applyAlignment="1">
      <alignment horizontal="center" vertical="center"/>
    </xf>
    <xf numFmtId="0" fontId="11" fillId="4" borderId="4" xfId="0" applyNumberFormat="1" applyFont="1" applyFill="1" applyBorder="1" applyAlignment="1">
      <alignment horizontal="right" vertical="center"/>
    </xf>
    <xf numFmtId="0" fontId="11" fillId="4" borderId="0" xfId="0" applyFont="1" applyFill="1" applyAlignment="1">
      <alignment vertical="center"/>
    </xf>
    <xf numFmtId="0" fontId="11" fillId="4" borderId="0" xfId="0" applyFont="1" applyFill="1" applyAlignment="1">
      <alignment horizontal="right"/>
    </xf>
    <xf numFmtId="49" fontId="13" fillId="5" borderId="1" xfId="1" applyNumberFormat="1" applyFont="1" applyFill="1" applyAlignment="1">
      <alignment horizontal="center" vertical="center"/>
    </xf>
    <xf numFmtId="0" fontId="1" fillId="0" borderId="1" xfId="1" applyNumberFormat="1" applyFill="1" applyAlignment="1">
      <alignment horizontal="center" vertical="center"/>
    </xf>
    <xf numFmtId="0" fontId="1" fillId="6" borderId="1" xfId="1" applyNumberFormat="1" applyFill="1" applyAlignment="1">
      <alignment horizontal="center" vertical="center" wrapText="1"/>
    </xf>
    <xf numFmtId="0" fontId="1" fillId="0" borderId="1" xfId="1" applyNumberFormat="1" applyFill="1"/>
    <xf numFmtId="0" fontId="0" fillId="0" borderId="0" xfId="0" applyNumberFormat="1"/>
    <xf numFmtId="0" fontId="0" fillId="0" borderId="0" xfId="0" applyNumberFormat="1" applyAlignment="1">
      <alignment horizontal="center"/>
    </xf>
    <xf numFmtId="0" fontId="11" fillId="4" borderId="0" xfId="0" applyNumberFormat="1" applyFont="1" applyFill="1" applyAlignment="1">
      <alignment horizontal="left"/>
    </xf>
    <xf numFmtId="49" fontId="13" fillId="5" borderId="5" xfId="1" applyNumberFormat="1" applyFont="1" applyFill="1" applyBorder="1" applyAlignment="1">
      <alignment horizontal="center" vertical="center"/>
    </xf>
    <xf numFmtId="0" fontId="13" fillId="5" borderId="5" xfId="1" applyNumberFormat="1" applyFont="1" applyFill="1" applyBorder="1" applyAlignment="1">
      <alignment horizontal="center" vertical="center"/>
    </xf>
    <xf numFmtId="0" fontId="11" fillId="4" borderId="0" xfId="0" applyNumberFormat="1" applyFont="1" applyFill="1" applyAlignment="1">
      <alignment horizontal="center"/>
    </xf>
    <xf numFmtId="0" fontId="10" fillId="0" borderId="0" xfId="0" applyFont="1" applyFill="1" applyAlignment="1">
      <alignment horizontal="center"/>
    </xf>
    <xf numFmtId="0" fontId="11" fillId="4" borderId="0" xfId="0" applyNumberFormat="1" applyFont="1" applyFill="1" applyAlignment="1">
      <alignment horizontal="center"/>
    </xf>
    <xf numFmtId="0" fontId="11" fillId="4" borderId="0" xfId="0" applyNumberFormat="1" applyFont="1" applyFill="1" applyAlignment="1">
      <alignment horizontal="left"/>
    </xf>
    <xf numFmtId="0" fontId="11" fillId="4" borderId="0" xfId="0" applyFont="1" applyFill="1" applyAlignment="1">
      <alignment horizontal="right" vertical="center"/>
    </xf>
    <xf numFmtId="0" fontId="11" fillId="4" borderId="0" xfId="0" applyNumberFormat="1" applyFont="1" applyFill="1" applyAlignment="1">
      <alignment horizontal="right"/>
    </xf>
    <xf numFmtId="0" fontId="11" fillId="4" borderId="0" xfId="0" applyNumberFormat="1" applyFont="1" applyFill="1" applyAlignment="1">
      <alignment horizontal="center" vertical="center"/>
    </xf>
    <xf numFmtId="0" fontId="11" fillId="4" borderId="0" xfId="0" applyFont="1" applyFill="1" applyAlignment="1">
      <alignment horizontal="left" vertical="center"/>
    </xf>
    <xf numFmtId="49" fontId="1" fillId="4" borderId="1" xfId="1" applyNumberFormat="1" applyFill="1" applyAlignment="1">
      <alignment horizontal="center" vertical="center"/>
    </xf>
    <xf numFmtId="49" fontId="1" fillId="4" borderId="1" xfId="1" applyNumberFormat="1" applyFill="1" applyAlignment="1">
      <alignment horizontal="center"/>
    </xf>
    <xf numFmtId="49" fontId="1" fillId="0" borderId="1" xfId="1" applyNumberFormat="1" applyFill="1" applyAlignment="1">
      <alignment horizontal="center"/>
    </xf>
    <xf numFmtId="0" fontId="1" fillId="0" borderId="1" xfId="1" applyNumberFormat="1" applyFill="1" applyAlignment="1">
      <alignment horizontal="center"/>
    </xf>
    <xf numFmtId="49" fontId="15" fillId="0" borderId="1" xfId="1" applyNumberFormat="1" applyFont="1" applyFill="1" applyAlignment="1">
      <alignment horizontal="center" vertical="center"/>
    </xf>
    <xf numFmtId="0" fontId="15" fillId="0" borderId="1" xfId="1" applyFont="1" applyFill="1" applyAlignment="1">
      <alignment horizontal="center"/>
    </xf>
    <xf numFmtId="0" fontId="15" fillId="0" borderId="1" xfId="1" applyFont="1" applyFill="1"/>
    <xf numFmtId="0" fontId="1" fillId="4" borderId="1" xfId="1" applyFill="1" applyAlignment="1">
      <alignment vertical="center"/>
    </xf>
    <xf numFmtId="0" fontId="15" fillId="0" borderId="1" xfId="1" applyFont="1" applyFill="1" applyAlignment="1">
      <alignment horizontal="center" vertical="center"/>
    </xf>
    <xf numFmtId="0" fontId="15" fillId="0" borderId="1" xfId="1" applyFont="1" applyFill="1" applyAlignment="1">
      <alignment horizontal="center" vertical="center" wrapText="1"/>
    </xf>
    <xf numFmtId="0" fontId="1" fillId="0" borderId="1" xfId="1" applyFont="1" applyFill="1" applyAlignment="1">
      <alignment vertical="center" wrapText="1"/>
    </xf>
    <xf numFmtId="0" fontId="0" fillId="0" borderId="0" xfId="0" applyAlignment="1">
      <alignment vertical="center"/>
    </xf>
    <xf numFmtId="0" fontId="1" fillId="0" borderId="1" xfId="1" applyFill="1" applyAlignment="1">
      <alignment horizontal="center" vertical="center"/>
    </xf>
    <xf numFmtId="0" fontId="1" fillId="4" borderId="1" xfId="1" applyFill="1" applyAlignment="1">
      <alignment horizontal="left" vertical="center"/>
    </xf>
    <xf numFmtId="0" fontId="11" fillId="4" borderId="0" xfId="0" applyFont="1" applyFill="1" applyAlignment="1"/>
    <xf numFmtId="0" fontId="11" fillId="4" borderId="4" xfId="0" applyFont="1" applyFill="1" applyBorder="1" applyAlignment="1">
      <alignment horizontal="right" vertical="top"/>
    </xf>
    <xf numFmtId="0" fontId="11" fillId="4" borderId="4" xfId="0" applyNumberFormat="1" applyFont="1" applyFill="1" applyBorder="1" applyAlignment="1">
      <alignment horizontal="center" vertical="top"/>
    </xf>
    <xf numFmtId="0" fontId="11" fillId="4" borderId="0" xfId="0" applyNumberFormat="1" applyFont="1" applyFill="1" applyAlignment="1">
      <alignment horizontal="left" vertical="center"/>
    </xf>
    <xf numFmtId="0" fontId="11" fillId="4" borderId="0" xfId="0" applyFont="1" applyFill="1" applyAlignment="1">
      <alignment horizontal="center" vertical="center"/>
    </xf>
    <xf numFmtId="49" fontId="2" fillId="10" borderId="8" xfId="3" applyNumberFormat="1" applyFill="1" applyAlignment="1">
      <alignment horizontal="center" vertical="center"/>
    </xf>
    <xf numFmtId="49" fontId="2" fillId="0" borderId="8" xfId="3" applyNumberFormat="1" applyFill="1" applyAlignment="1">
      <alignment horizontal="center" vertical="center"/>
    </xf>
    <xf numFmtId="0" fontId="2" fillId="0" borderId="8" xfId="3" applyNumberFormat="1" applyFill="1" applyAlignment="1">
      <alignment horizontal="center" vertical="center"/>
    </xf>
    <xf numFmtId="0" fontId="2" fillId="10" borderId="8" xfId="3" applyFill="1" applyAlignment="1">
      <alignment horizontal="center" vertical="center" wrapText="1"/>
    </xf>
    <xf numFmtId="0" fontId="2" fillId="0" borderId="8" xfId="3" applyAlignment="1">
      <alignment horizontal="center" vertical="center"/>
    </xf>
    <xf numFmtId="0" fontId="12" fillId="4" borderId="0" xfId="0" applyFont="1" applyFill="1" applyAlignment="1">
      <alignment horizontal="right"/>
    </xf>
    <xf numFmtId="0" fontId="11" fillId="4" borderId="0" xfId="0" applyNumberFormat="1" applyFont="1" applyFill="1" applyAlignment="1">
      <alignment horizontal="right" vertical="center"/>
    </xf>
    <xf numFmtId="0" fontId="20" fillId="11" borderId="10" xfId="5" applyFont="1" applyAlignment="1">
      <alignment horizontal="left" vertical="center" wrapText="1"/>
    </xf>
    <xf numFmtId="0" fontId="0" fillId="0" borderId="0" xfId="0" applyFill="1" applyAlignment="1"/>
    <xf numFmtId="0" fontId="1" fillId="2" borderId="1" xfId="1"/>
    <xf numFmtId="0" fontId="19" fillId="2" borderId="9" xfId="4" applyAlignment="1"/>
    <xf numFmtId="0" fontId="19" fillId="2" borderId="9" xfId="4" applyAlignment="1">
      <alignment vertical="center"/>
    </xf>
    <xf numFmtId="0" fontId="1" fillId="4" borderId="6" xfId="1" applyFill="1" applyBorder="1" applyAlignment="1"/>
    <xf numFmtId="49" fontId="13" fillId="5" borderId="5" xfId="1" applyNumberFormat="1" applyFont="1" applyFill="1" applyBorder="1" applyAlignment="1">
      <alignment horizontal="center" vertical="center"/>
    </xf>
    <xf numFmtId="49" fontId="13" fillId="5" borderId="5" xfId="1" applyNumberFormat="1" applyFont="1" applyFill="1" applyBorder="1" applyAlignment="1">
      <alignment vertical="center"/>
    </xf>
    <xf numFmtId="49" fontId="1" fillId="14" borderId="1" xfId="1" applyNumberFormat="1" applyFill="1" applyAlignment="1">
      <alignment horizontal="center" vertical="center"/>
    </xf>
    <xf numFmtId="49" fontId="1" fillId="14" borderId="1" xfId="1" applyNumberFormat="1" applyFill="1" applyAlignment="1">
      <alignment horizontal="center" vertical="center" wrapText="1"/>
    </xf>
    <xf numFmtId="49" fontId="1" fillId="14" borderId="1" xfId="1" applyNumberFormat="1" applyFill="1" applyAlignment="1">
      <alignment horizontal="left" vertical="center"/>
    </xf>
    <xf numFmtId="0" fontId="1" fillId="4" borderId="17" xfId="1" applyFill="1" applyBorder="1" applyAlignment="1"/>
    <xf numFmtId="49" fontId="1" fillId="0" borderId="18" xfId="1" applyNumberFormat="1" applyFont="1" applyFill="1" applyBorder="1" applyAlignment="1">
      <alignment horizontal="center" vertical="center"/>
    </xf>
    <xf numFmtId="0" fontId="1" fillId="0" borderId="1" xfId="1" applyFont="1" applyFill="1" applyAlignment="1">
      <alignment horizontal="center"/>
    </xf>
    <xf numFmtId="49" fontId="1" fillId="0" borderId="1" xfId="1" applyNumberFormat="1" applyFont="1" applyFill="1" applyAlignment="1">
      <alignment horizontal="center" vertical="center"/>
    </xf>
    <xf numFmtId="0" fontId="1" fillId="4" borderId="1" xfId="1" applyFill="1" applyAlignment="1">
      <alignment horizontal="left"/>
    </xf>
    <xf numFmtId="49" fontId="2" fillId="10" borderId="0" xfId="3" applyNumberFormat="1" applyFill="1" applyBorder="1" applyAlignment="1">
      <alignment horizontal="center" vertical="center"/>
    </xf>
    <xf numFmtId="0" fontId="23" fillId="0" borderId="22" xfId="0" applyFont="1" applyFill="1" applyBorder="1" applyAlignment="1">
      <alignment horizontal="center" vertical="center" wrapText="1"/>
    </xf>
    <xf numFmtId="49" fontId="13" fillId="5" borderId="5" xfId="1" applyNumberFormat="1" applyFont="1" applyFill="1" applyBorder="1" applyAlignment="1">
      <alignment horizontal="center" vertical="center"/>
    </xf>
    <xf numFmtId="49" fontId="13" fillId="5" borderId="5" xfId="1" applyNumberFormat="1" applyFont="1" applyFill="1" applyBorder="1" applyAlignment="1">
      <alignment horizontal="center" vertical="center"/>
    </xf>
    <xf numFmtId="49" fontId="1" fillId="0" borderId="7" xfId="1" applyNumberFormat="1" applyFont="1" applyFill="1" applyBorder="1" applyAlignment="1">
      <alignment horizontal="center" vertical="center"/>
    </xf>
    <xf numFmtId="0" fontId="5" fillId="8" borderId="23" xfId="2" applyBorder="1" applyAlignment="1">
      <alignment horizontal="center"/>
    </xf>
    <xf numFmtId="0" fontId="6" fillId="8" borderId="23" xfId="2" applyFont="1" applyBorder="1" applyAlignment="1">
      <alignment horizontal="center"/>
    </xf>
    <xf numFmtId="49" fontId="13" fillId="5" borderId="5" xfId="1" applyNumberFormat="1" applyFont="1" applyFill="1" applyBorder="1" applyAlignment="1">
      <alignment horizontal="center" vertical="center"/>
    </xf>
    <xf numFmtId="49" fontId="1" fillId="6" borderId="1" xfId="1" applyNumberFormat="1" applyFill="1" applyAlignment="1">
      <alignment horizontal="left"/>
    </xf>
    <xf numFmtId="0" fontId="6" fillId="10" borderId="3" xfId="6" applyBorder="1"/>
    <xf numFmtId="49" fontId="1" fillId="15" borderId="1" xfId="1" applyNumberFormat="1" applyFill="1" applyAlignment="1">
      <alignment horizontal="left" vertical="center"/>
    </xf>
    <xf numFmtId="49" fontId="1" fillId="16" borderId="1" xfId="1" applyNumberFormat="1" applyFill="1" applyAlignment="1">
      <alignment horizontal="left" vertical="center"/>
    </xf>
    <xf numFmtId="0" fontId="0" fillId="11" borderId="10" xfId="5" applyNumberFormat="1" applyFont="1" applyAlignment="1">
      <alignment horizontal="center"/>
    </xf>
    <xf numFmtId="0" fontId="21" fillId="12" borderId="11" xfId="0" applyFont="1" applyFill="1" applyBorder="1" applyAlignment="1">
      <alignment horizontal="center"/>
    </xf>
    <xf numFmtId="0" fontId="21" fillId="12" borderId="12" xfId="0" applyFont="1" applyFill="1" applyBorder="1" applyAlignment="1">
      <alignment horizontal="center"/>
    </xf>
    <xf numFmtId="0" fontId="21" fillId="12" borderId="0" xfId="0" applyFont="1" applyFill="1" applyBorder="1" applyAlignment="1">
      <alignment horizontal="center"/>
    </xf>
    <xf numFmtId="0" fontId="17" fillId="9" borderId="0" xfId="0" applyFont="1" applyFill="1" applyAlignment="1">
      <alignment horizontal="center" wrapText="1"/>
    </xf>
    <xf numFmtId="0" fontId="17" fillId="9" borderId="4" xfId="0" applyFont="1" applyFill="1" applyBorder="1" applyAlignment="1">
      <alignment horizontal="center" wrapText="1"/>
    </xf>
    <xf numFmtId="0" fontId="0" fillId="4" borderId="0" xfId="0" applyNumberFormat="1" applyFill="1" applyAlignment="1">
      <alignment horizontal="center" vertical="center"/>
    </xf>
    <xf numFmtId="0" fontId="0" fillId="4" borderId="4" xfId="0" applyNumberFormat="1" applyFill="1" applyBorder="1" applyAlignment="1">
      <alignment horizontal="center" vertical="center"/>
    </xf>
    <xf numFmtId="0" fontId="16" fillId="9" borderId="0" xfId="0" applyFont="1" applyFill="1" applyAlignment="1">
      <alignment horizontal="center" vertical="top" wrapText="1"/>
    </xf>
    <xf numFmtId="0" fontId="16" fillId="9" borderId="4" xfId="0" applyFont="1" applyFill="1" applyBorder="1" applyAlignment="1">
      <alignment horizontal="center" vertical="top" wrapText="1"/>
    </xf>
    <xf numFmtId="49" fontId="13" fillId="5" borderId="5" xfId="1" applyNumberFormat="1" applyFont="1" applyFill="1" applyBorder="1" applyAlignment="1">
      <alignment horizontal="center" vertical="center"/>
    </xf>
    <xf numFmtId="49" fontId="13" fillId="5" borderId="6" xfId="1" applyNumberFormat="1" applyFont="1" applyFill="1" applyBorder="1" applyAlignment="1">
      <alignment horizontal="center" vertical="center"/>
    </xf>
    <xf numFmtId="49" fontId="13" fillId="5" borderId="7" xfId="1" applyNumberFormat="1" applyFont="1" applyFill="1" applyBorder="1" applyAlignment="1">
      <alignment horizontal="center" vertical="center"/>
    </xf>
    <xf numFmtId="0" fontId="13" fillId="5" borderId="5" xfId="1" applyNumberFormat="1" applyFont="1" applyFill="1" applyBorder="1" applyAlignment="1">
      <alignment horizontal="center" vertical="center"/>
    </xf>
    <xf numFmtId="0" fontId="13" fillId="5" borderId="6" xfId="1" applyNumberFormat="1" applyFont="1" applyFill="1" applyBorder="1" applyAlignment="1">
      <alignment horizontal="center" vertical="center"/>
    </xf>
    <xf numFmtId="0" fontId="19" fillId="2" borderId="19" xfId="4" applyBorder="1" applyAlignment="1">
      <alignment horizontal="center" vertical="center" wrapText="1"/>
    </xf>
    <xf numFmtId="0" fontId="19" fillId="2" borderId="20" xfId="4" applyBorder="1" applyAlignment="1">
      <alignment horizontal="center" vertical="center" wrapText="1"/>
    </xf>
    <xf numFmtId="0" fontId="19" fillId="2" borderId="21" xfId="4" applyBorder="1" applyAlignment="1">
      <alignment horizontal="center" vertical="center" wrapText="1"/>
    </xf>
    <xf numFmtId="0" fontId="22" fillId="13" borderId="13" xfId="0" applyFont="1" applyFill="1" applyBorder="1" applyAlignment="1">
      <alignment horizontal="center" vertical="center"/>
    </xf>
    <xf numFmtId="0" fontId="22" fillId="13" borderId="0" xfId="0" applyFont="1" applyFill="1" applyBorder="1" applyAlignment="1">
      <alignment horizontal="center" vertical="center"/>
    </xf>
    <xf numFmtId="0" fontId="22" fillId="13" borderId="4" xfId="0" applyFont="1" applyFill="1" applyBorder="1" applyAlignment="1">
      <alignment horizontal="center" vertical="center"/>
    </xf>
    <xf numFmtId="0" fontId="19" fillId="2" borderId="14" xfId="4" applyBorder="1" applyAlignment="1">
      <alignment horizontal="center"/>
    </xf>
    <xf numFmtId="0" fontId="19" fillId="2" borderId="15" xfId="4" applyBorder="1" applyAlignment="1">
      <alignment horizontal="center"/>
    </xf>
    <xf numFmtId="0" fontId="19" fillId="2" borderId="16" xfId="4" applyBorder="1" applyAlignment="1">
      <alignment horizontal="center"/>
    </xf>
    <xf numFmtId="0" fontId="19" fillId="2" borderId="14" xfId="4" applyBorder="1" applyAlignment="1">
      <alignment horizontal="center" vertical="center" wrapText="1"/>
    </xf>
    <xf numFmtId="0" fontId="19" fillId="2" borderId="15" xfId="4" applyBorder="1" applyAlignment="1">
      <alignment horizontal="center" vertical="center"/>
    </xf>
    <xf numFmtId="0" fontId="19" fillId="2" borderId="16" xfId="4" applyBorder="1" applyAlignment="1">
      <alignment horizontal="center" vertical="center"/>
    </xf>
  </cellXfs>
  <cellStyles count="7">
    <cellStyle name="Accent5" xfId="6" builtinId="45"/>
    <cellStyle name="Calculation" xfId="4" builtinId="22"/>
    <cellStyle name="Check Cell" xfId="2" builtinId="23"/>
    <cellStyle name="Normal" xfId="0" builtinId="0"/>
    <cellStyle name="Note" xfId="5" builtinId="10"/>
    <cellStyle name="Output" xfId="1" builtinId="21"/>
    <cellStyle name="Total" xfId="3"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2105025</xdr:colOff>
          <xdr:row>69</xdr:row>
          <xdr:rowOff>161925</xdr:rowOff>
        </xdr:from>
        <xdr:to>
          <xdr:col>1</xdr:col>
          <xdr:colOff>1819275</xdr:colOff>
          <xdr:row>72</xdr:row>
          <xdr:rowOff>19050</xdr:rowOff>
        </xdr:to>
        <xdr:sp macro="" textlink="">
          <xdr:nvSpPr>
            <xdr:cNvPr id="11266" name="Prepare_Sensing" hidden="1">
              <a:extLst>
                <a:ext uri="{63B3BB69-23CF-44E3-9099-C40C66FF867C}">
                  <a14:compatExt spid="_x0000_s11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8"/>
  <sheetViews>
    <sheetView workbookViewId="0">
      <selection activeCell="A2" sqref="A2"/>
    </sheetView>
  </sheetViews>
  <sheetFormatPr defaultRowHeight="15" x14ac:dyDescent="0.25"/>
  <cols>
    <col min="1" max="1" width="54.85546875" customWidth="1"/>
    <col min="2" max="2" width="12.42578125" customWidth="1"/>
    <col min="3" max="3" width="10.5703125" customWidth="1"/>
    <col min="4" max="4" width="15.5703125" customWidth="1"/>
    <col min="5" max="5" width="10.140625" customWidth="1"/>
    <col min="6" max="6" width="12.5703125" customWidth="1"/>
    <col min="7" max="7" width="10.28515625" customWidth="1"/>
    <col min="8" max="9" width="12.5703125" customWidth="1"/>
    <col min="10" max="11" width="12.7109375" customWidth="1"/>
    <col min="12" max="12" width="6.42578125" customWidth="1"/>
    <col min="13" max="13" width="3.42578125" customWidth="1"/>
    <col min="14" max="14" width="4.140625" customWidth="1"/>
    <col min="15" max="15" width="3.42578125" customWidth="1"/>
    <col min="16" max="16" width="2.85546875" customWidth="1"/>
    <col min="17" max="17" width="2.5703125" customWidth="1"/>
    <col min="18" max="18" width="2.85546875" customWidth="1"/>
    <col min="19" max="20" width="3.42578125" customWidth="1"/>
    <col min="21" max="21" width="2.85546875" customWidth="1"/>
    <col min="22" max="22" width="3.42578125" customWidth="1"/>
    <col min="23" max="23" width="3.140625" customWidth="1"/>
    <col min="24" max="25" width="3.42578125" customWidth="1"/>
    <col min="26" max="30" width="3.85546875" customWidth="1"/>
    <col min="31" max="31" width="2.85546875" customWidth="1"/>
    <col min="32" max="34" width="3.42578125" customWidth="1"/>
  </cols>
  <sheetData>
    <row r="1" spans="1:31" ht="36.75" customHeight="1" thickBot="1" x14ac:dyDescent="0.3">
      <c r="A1" s="75" t="s">
        <v>0</v>
      </c>
      <c r="B1" s="75" t="s">
        <v>1</v>
      </c>
      <c r="C1" s="75" t="s">
        <v>76</v>
      </c>
      <c r="D1" s="72" t="s">
        <v>3</v>
      </c>
      <c r="E1" s="72" t="s">
        <v>64</v>
      </c>
      <c r="F1" s="72" t="s">
        <v>79</v>
      </c>
      <c r="G1" s="72" t="s">
        <v>250</v>
      </c>
      <c r="H1" s="72" t="s">
        <v>78</v>
      </c>
      <c r="I1" s="72" t="s">
        <v>251</v>
      </c>
      <c r="J1" s="95" t="s">
        <v>256</v>
      </c>
      <c r="K1" s="95" t="s">
        <v>255</v>
      </c>
    </row>
    <row r="2" spans="1:31" ht="36.75" customHeight="1" thickTop="1" thickBot="1" x14ac:dyDescent="0.3">
      <c r="A2" s="76">
        <v>2019</v>
      </c>
      <c r="B2" s="76" t="s">
        <v>259</v>
      </c>
      <c r="C2" s="76" t="s">
        <v>260</v>
      </c>
      <c r="D2" s="73" t="s">
        <v>39</v>
      </c>
      <c r="E2" s="73" t="s">
        <v>44</v>
      </c>
      <c r="F2" s="74">
        <v>500000</v>
      </c>
      <c r="G2" s="74" t="s">
        <v>253</v>
      </c>
      <c r="H2" s="74">
        <v>250000</v>
      </c>
      <c r="I2" s="74" t="s">
        <v>253</v>
      </c>
      <c r="J2" s="96" t="s">
        <v>249</v>
      </c>
      <c r="K2" s="96">
        <v>100.001</v>
      </c>
      <c r="L2" s="1"/>
      <c r="M2" s="1"/>
      <c r="N2" s="1"/>
      <c r="O2" s="1"/>
      <c r="P2" s="1"/>
      <c r="Q2" s="1"/>
      <c r="R2" s="1"/>
      <c r="S2" s="1"/>
      <c r="T2" s="1"/>
      <c r="U2" s="1"/>
      <c r="V2" s="1"/>
      <c r="W2" s="1"/>
      <c r="X2" s="1"/>
      <c r="Y2" s="1"/>
      <c r="Z2" s="1"/>
      <c r="AA2" s="1"/>
      <c r="AB2" s="1"/>
      <c r="AC2" s="1"/>
      <c r="AD2" s="1"/>
      <c r="AE2" s="7"/>
    </row>
    <row r="3" spans="1:31" ht="36.75" customHeight="1" thickTop="1" x14ac:dyDescent="0.25">
      <c r="A3" s="1"/>
      <c r="B3" s="1"/>
      <c r="C3" s="1"/>
      <c r="D3" s="1"/>
      <c r="E3" s="1"/>
      <c r="F3" s="1"/>
      <c r="G3" s="1"/>
      <c r="H3" s="1"/>
      <c r="I3" s="1"/>
      <c r="J3" s="1"/>
      <c r="K3" s="1"/>
      <c r="L3" s="1"/>
      <c r="M3" s="1"/>
      <c r="N3" s="1"/>
      <c r="O3" s="1"/>
      <c r="P3" s="1"/>
      <c r="Q3" s="1"/>
      <c r="R3" s="1"/>
      <c r="S3" s="1"/>
      <c r="T3" s="1"/>
      <c r="U3" s="1"/>
      <c r="V3" s="1"/>
      <c r="W3" s="1"/>
      <c r="X3" s="7"/>
    </row>
    <row r="4" spans="1:31" ht="15" customHeight="1" x14ac:dyDescent="0.25">
      <c r="B4" s="2"/>
    </row>
    <row r="5" spans="1:31" x14ac:dyDescent="0.25">
      <c r="B5" s="2"/>
    </row>
    <row r="6" spans="1:31" x14ac:dyDescent="0.25">
      <c r="B6" s="2"/>
    </row>
    <row r="7" spans="1:31" x14ac:dyDescent="0.25">
      <c r="B7" s="2"/>
    </row>
    <row r="8" spans="1:31" x14ac:dyDescent="0.25">
      <c r="B8" s="2"/>
    </row>
    <row r="9" spans="1:31" x14ac:dyDescent="0.25">
      <c r="B9" s="2"/>
    </row>
    <row r="10" spans="1:31" x14ac:dyDescent="0.25">
      <c r="B10" s="2"/>
    </row>
    <row r="11" spans="1:31" x14ac:dyDescent="0.25">
      <c r="B11" s="2"/>
    </row>
    <row r="12" spans="1:31" x14ac:dyDescent="0.25">
      <c r="B12" s="2"/>
    </row>
    <row r="13" spans="1:31" x14ac:dyDescent="0.25">
      <c r="B13" s="2"/>
    </row>
    <row r="14" spans="1:31" x14ac:dyDescent="0.25">
      <c r="B14" s="2"/>
    </row>
    <row r="15" spans="1:31" x14ac:dyDescent="0.25">
      <c r="B15" s="2"/>
    </row>
    <row r="16" spans="1:31" x14ac:dyDescent="0.25">
      <c r="B16" s="2"/>
    </row>
    <row r="17" spans="2:2" x14ac:dyDescent="0.25">
      <c r="B17" s="2"/>
    </row>
    <row r="18" spans="2:2" x14ac:dyDescent="0.25">
      <c r="B18" s="2"/>
    </row>
  </sheetData>
  <dataValidations count="5">
    <dataValidation type="list" errorStyle="warning" allowBlank="1" showInputMessage="1" showErrorMessage="1" promptTitle="auto" sqref="D2">
      <formula1>Transmission</formula1>
    </dataValidation>
    <dataValidation type="list" allowBlank="1" showInputMessage="1" showErrorMessage="1" sqref="E2">
      <formula1>carType</formula1>
    </dataValidation>
    <dataValidation type="list" allowBlank="1" showInputMessage="1" showErrorMessage="1" sqref="F2 H2">
      <formula1>baud</formula1>
    </dataValidation>
    <dataValidation type="list" allowBlank="1" showInputMessage="1" showErrorMessage="1" sqref="A2 A49:A110">
      <formula1>Year</formula1>
    </dataValidation>
    <dataValidation type="list" allowBlank="1" showInputMessage="1" showErrorMessage="1" sqref="G2 I2">
      <formula1>CAN_Type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42"/>
  <sheetViews>
    <sheetView workbookViewId="0">
      <selection activeCell="B32" sqref="B32:G32"/>
    </sheetView>
  </sheetViews>
  <sheetFormatPr defaultRowHeight="15" x14ac:dyDescent="0.25"/>
  <cols>
    <col min="1" max="1" width="54.85546875" customWidth="1"/>
    <col min="2" max="2" width="12.42578125" customWidth="1"/>
    <col min="3" max="3" width="8.140625" bestFit="1" customWidth="1"/>
    <col min="4" max="4" width="15.5703125" customWidth="1"/>
    <col min="5" max="5" width="10.140625" customWidth="1"/>
    <col min="6" max="7" width="12.5703125" customWidth="1"/>
  </cols>
  <sheetData>
    <row r="1" spans="1:7" ht="15.75" thickTop="1" x14ac:dyDescent="0.25">
      <c r="A1" s="108" t="s">
        <v>140</v>
      </c>
      <c r="B1" s="108" t="s">
        <v>141</v>
      </c>
      <c r="C1" s="108"/>
      <c r="D1" s="108"/>
      <c r="E1" s="108"/>
      <c r="F1" s="108"/>
      <c r="G1" s="108"/>
    </row>
    <row r="2" spans="1:7" x14ac:dyDescent="0.25">
      <c r="A2" s="109"/>
      <c r="B2" s="110"/>
      <c r="C2" s="110"/>
      <c r="D2" s="110"/>
      <c r="E2" s="110"/>
      <c r="F2" s="110"/>
      <c r="G2" s="110"/>
    </row>
    <row r="3" spans="1:7" x14ac:dyDescent="0.25">
      <c r="A3" s="79" t="s">
        <v>104</v>
      </c>
      <c r="B3" s="107" t="str">
        <f>IF('Functions CMDs'!B26 = "ACTIVE", "x", "N/A")</f>
        <v>N/A</v>
      </c>
      <c r="C3" s="107"/>
      <c r="D3" s="107"/>
      <c r="E3" s="107"/>
      <c r="F3" s="107"/>
      <c r="G3" s="107"/>
    </row>
    <row r="4" spans="1:7" x14ac:dyDescent="0.25">
      <c r="A4" s="79" t="s">
        <v>105</v>
      </c>
      <c r="B4" s="107" t="str">
        <f>IF('Functions CMDs'!B25 = "ACTIVE", "x", "N/A")</f>
        <v>N/A</v>
      </c>
      <c r="C4" s="107"/>
      <c r="D4" s="107"/>
      <c r="E4" s="107"/>
      <c r="F4" s="107"/>
      <c r="G4" s="107"/>
    </row>
    <row r="5" spans="1:7" x14ac:dyDescent="0.25">
      <c r="A5" s="79" t="s">
        <v>106</v>
      </c>
      <c r="B5" s="107" t="str">
        <f>IF('Functions CMDs'!B24 = "ACTIVE", "x", "N/A")</f>
        <v>N/A</v>
      </c>
      <c r="C5" s="107"/>
      <c r="D5" s="107"/>
      <c r="E5" s="107"/>
      <c r="F5" s="107"/>
      <c r="G5" s="107"/>
    </row>
    <row r="6" spans="1:7" x14ac:dyDescent="0.25">
      <c r="A6" s="79" t="s">
        <v>107</v>
      </c>
      <c r="B6" s="107" t="str">
        <f>IF('Functions CMDs'!B27 = "ACTIVE", "x", "N/A")</f>
        <v>N/A</v>
      </c>
      <c r="C6" s="107"/>
      <c r="D6" s="107"/>
      <c r="E6" s="107"/>
      <c r="F6" s="107"/>
      <c r="G6" s="107"/>
    </row>
    <row r="7" spans="1:7" x14ac:dyDescent="0.25">
      <c r="A7" s="79" t="s">
        <v>108</v>
      </c>
      <c r="B7" s="107" t="str">
        <f>IF('Functions CMDs'!B28 = "ACTIVE", "x", "N/A")</f>
        <v>N/A</v>
      </c>
      <c r="C7" s="107"/>
      <c r="D7" s="107"/>
      <c r="E7" s="107"/>
      <c r="F7" s="107"/>
      <c r="G7" s="107"/>
    </row>
    <row r="8" spans="1:7" x14ac:dyDescent="0.25">
      <c r="A8" s="79" t="s">
        <v>109</v>
      </c>
      <c r="B8" s="107" t="str">
        <f>IF('Functions CMDs'!B29 = "ACTIVE", "x", "N/A")</f>
        <v>N/A</v>
      </c>
      <c r="C8" s="107"/>
      <c r="D8" s="107"/>
      <c r="E8" s="107"/>
      <c r="F8" s="107"/>
      <c r="G8" s="107"/>
    </row>
    <row r="9" spans="1:7" x14ac:dyDescent="0.25">
      <c r="A9" s="79" t="s">
        <v>110</v>
      </c>
      <c r="B9" s="107" t="str">
        <f>IF('Functions CMDs'!B30 = "ACTIVE", "x", "N/A")</f>
        <v>N/A</v>
      </c>
      <c r="C9" s="107"/>
      <c r="D9" s="107"/>
      <c r="E9" s="107"/>
      <c r="F9" s="107"/>
      <c r="G9" s="107"/>
    </row>
    <row r="10" spans="1:7" x14ac:dyDescent="0.25">
      <c r="A10" s="79" t="s">
        <v>111</v>
      </c>
      <c r="B10" s="107" t="str">
        <f>IF('Functions CMDs'!B32 = "ACTIVE", "x", "N/A")</f>
        <v>N/A</v>
      </c>
      <c r="C10" s="107"/>
      <c r="D10" s="107"/>
      <c r="E10" s="107"/>
      <c r="F10" s="107"/>
      <c r="G10" s="107"/>
    </row>
    <row r="11" spans="1:7" x14ac:dyDescent="0.25">
      <c r="A11" s="79" t="s">
        <v>112</v>
      </c>
      <c r="B11" s="107" t="str">
        <f>IF('Functions CMDs'!B31 = "ACTIVE", "x", "N/A")</f>
        <v>N/A</v>
      </c>
      <c r="C11" s="107"/>
      <c r="D11" s="107"/>
      <c r="E11" s="107"/>
      <c r="F11" s="107"/>
      <c r="G11" s="107"/>
    </row>
    <row r="12" spans="1:7" x14ac:dyDescent="0.25">
      <c r="A12" s="79" t="s">
        <v>113</v>
      </c>
      <c r="B12" s="107" t="str">
        <f>IF('Functions CMDs'!B33 = "ACTIVE", "x", "N/A")</f>
        <v>N/A</v>
      </c>
      <c r="C12" s="107"/>
      <c r="D12" s="107"/>
      <c r="E12" s="107"/>
      <c r="F12" s="107"/>
      <c r="G12" s="107"/>
    </row>
    <row r="13" spans="1:7" x14ac:dyDescent="0.25">
      <c r="A13" s="79" t="s">
        <v>114</v>
      </c>
      <c r="B13" s="107" t="str">
        <f>IF('Functions CMDs'!B21 = "ACTIVE", "x", "N/A")</f>
        <v>x</v>
      </c>
      <c r="C13" s="107"/>
      <c r="D13" s="107"/>
      <c r="E13" s="107"/>
      <c r="F13" s="107"/>
      <c r="G13" s="107"/>
    </row>
    <row r="14" spans="1:7" x14ac:dyDescent="0.25">
      <c r="A14" s="79" t="s">
        <v>115</v>
      </c>
      <c r="B14" s="107" t="str">
        <f>IF('Functions CMDs'!B22 = "ACTIVE", "x", "N/A")</f>
        <v>x</v>
      </c>
      <c r="C14" s="107"/>
      <c r="D14" s="107"/>
      <c r="E14" s="107"/>
      <c r="F14" s="107"/>
      <c r="G14" s="107"/>
    </row>
    <row r="15" spans="1:7" x14ac:dyDescent="0.25">
      <c r="A15" s="79" t="s">
        <v>116</v>
      </c>
      <c r="B15" s="107" t="str">
        <f>IF('Functions CMDs'!B8 = "ACTIVE", "x", "N/A")</f>
        <v>x</v>
      </c>
      <c r="C15" s="107"/>
      <c r="D15" s="107"/>
      <c r="E15" s="107"/>
      <c r="F15" s="107"/>
      <c r="G15" s="107"/>
    </row>
    <row r="16" spans="1:7" x14ac:dyDescent="0.25">
      <c r="A16" s="79" t="s">
        <v>117</v>
      </c>
      <c r="B16" s="107" t="str">
        <f>IF('Functions CMDs'!B9 = "ACTIVE", "x", "N/A")</f>
        <v>x</v>
      </c>
      <c r="C16" s="107"/>
      <c r="D16" s="107"/>
      <c r="E16" s="107"/>
      <c r="F16" s="107"/>
      <c r="G16" s="107"/>
    </row>
    <row r="17" spans="1:7" x14ac:dyDescent="0.25">
      <c r="A17" s="79" t="s">
        <v>118</v>
      </c>
      <c r="B17" s="107" t="str">
        <f>IF('Functions CMDs'!B10 = "ACTIVE", "x", "N/A")</f>
        <v>x</v>
      </c>
      <c r="C17" s="107"/>
      <c r="D17" s="107"/>
      <c r="E17" s="107"/>
      <c r="F17" s="107"/>
      <c r="G17" s="107"/>
    </row>
    <row r="18" spans="1:7" x14ac:dyDescent="0.25">
      <c r="A18" s="79" t="s">
        <v>119</v>
      </c>
      <c r="B18" s="107" t="str">
        <f>IF('Functions CMDs'!B23 = "ACTIVE", "x", "N/A")</f>
        <v>N/A</v>
      </c>
      <c r="C18" s="107"/>
      <c r="D18" s="107"/>
      <c r="E18" s="107"/>
      <c r="F18" s="107"/>
      <c r="G18" s="107"/>
    </row>
    <row r="19" spans="1:7" x14ac:dyDescent="0.25">
      <c r="A19" s="79" t="s">
        <v>120</v>
      </c>
      <c r="B19" s="107" t="str">
        <f>IF('Functions CMDs'!B16 = "ACTIVE", "x", "N/A")</f>
        <v>N/A</v>
      </c>
      <c r="C19" s="107"/>
      <c r="D19" s="107"/>
      <c r="E19" s="107"/>
      <c r="F19" s="107"/>
      <c r="G19" s="107"/>
    </row>
    <row r="20" spans="1:7" x14ac:dyDescent="0.25">
      <c r="A20" s="79" t="s">
        <v>121</v>
      </c>
      <c r="B20" s="107" t="str">
        <f>IF('Functions CMDs'!B19 = "ACTIVE", "x", "N/A")</f>
        <v>N/A</v>
      </c>
      <c r="C20" s="107"/>
      <c r="D20" s="107"/>
      <c r="E20" s="107"/>
      <c r="F20" s="107"/>
      <c r="G20" s="107"/>
    </row>
    <row r="21" spans="1:7" x14ac:dyDescent="0.25">
      <c r="A21" s="79" t="s">
        <v>122</v>
      </c>
      <c r="B21" s="107" t="str">
        <f>IF('Functions CMDs'!B20 = "ACTIVE", "x", "N/A")</f>
        <v>N/A</v>
      </c>
      <c r="C21" s="107"/>
      <c r="D21" s="107"/>
      <c r="E21" s="107"/>
      <c r="F21" s="107"/>
      <c r="G21" s="107"/>
    </row>
    <row r="22" spans="1:7" x14ac:dyDescent="0.25">
      <c r="A22" s="79" t="s">
        <v>169</v>
      </c>
      <c r="B22" s="107" t="str">
        <f>IF('Functions CMDs'!B15 = "ACTIVE", "x", "N/A")</f>
        <v>x</v>
      </c>
      <c r="C22" s="107"/>
      <c r="D22" s="107"/>
      <c r="E22" s="107"/>
      <c r="F22" s="107"/>
      <c r="G22" s="107"/>
    </row>
    <row r="23" spans="1:7" x14ac:dyDescent="0.25">
      <c r="A23" s="79" t="s">
        <v>170</v>
      </c>
      <c r="B23" s="107" t="str">
        <f>IF('Functions CMDs'!B18 = "ACTIVE", "x", "N/A")</f>
        <v>N/A</v>
      </c>
      <c r="C23" s="107"/>
      <c r="D23" s="107"/>
      <c r="E23" s="107"/>
      <c r="F23" s="107"/>
      <c r="G23" s="107"/>
    </row>
    <row r="24" spans="1:7" x14ac:dyDescent="0.25">
      <c r="A24" s="79" t="s">
        <v>171</v>
      </c>
      <c r="B24" s="107" t="str">
        <f>IF('Functions CMDs'!B17 = "ACTIVE", "x", "N/A")</f>
        <v>N/A</v>
      </c>
      <c r="C24" s="107"/>
      <c r="D24" s="107"/>
      <c r="E24" s="107"/>
      <c r="F24" s="107"/>
      <c r="G24" s="107"/>
    </row>
    <row r="25" spans="1:7" x14ac:dyDescent="0.25">
      <c r="A25" s="79" t="s">
        <v>123</v>
      </c>
      <c r="B25" s="107" t="str">
        <f>IF(OR('Basic Sensings'!E49="CAN1",'Basic Sensings'!E49="CAN2",'Basic Sensings'!E51="CAN1",'Basic Sensings'!E51="CAN2",'Basic Sensings'!E54="CAN1",'Basic Sensings'!E54="CAN2"),"x","N/A")</f>
        <v>N/A</v>
      </c>
      <c r="C25" s="107"/>
      <c r="D25" s="107"/>
      <c r="E25" s="107"/>
      <c r="F25" s="107"/>
      <c r="G25" s="107"/>
    </row>
    <row r="26" spans="1:7" hidden="1" x14ac:dyDescent="0.25">
      <c r="A26" s="79" t="s">
        <v>124</v>
      </c>
      <c r="B26" s="107"/>
      <c r="C26" s="107"/>
      <c r="D26" s="107"/>
      <c r="E26" s="107"/>
      <c r="F26" s="107"/>
      <c r="G26" s="107"/>
    </row>
    <row r="27" spans="1:7" hidden="1" x14ac:dyDescent="0.25">
      <c r="A27" s="79" t="s">
        <v>125</v>
      </c>
      <c r="B27" s="107"/>
      <c r="C27" s="107"/>
      <c r="D27" s="107"/>
      <c r="E27" s="107"/>
      <c r="F27" s="107"/>
      <c r="G27" s="107"/>
    </row>
    <row r="28" spans="1:7" x14ac:dyDescent="0.25">
      <c r="A28" s="79" t="s">
        <v>126</v>
      </c>
      <c r="B28" s="107" t="str">
        <f>IF('Basic Sensings'!E49="CAN1","x",IF('Basic Sensings'!E49="CAN2","x","N/A"))</f>
        <v>N/A</v>
      </c>
      <c r="C28" s="107"/>
      <c r="D28" s="107"/>
      <c r="E28" s="107"/>
      <c r="F28" s="107"/>
      <c r="G28" s="107"/>
    </row>
    <row r="29" spans="1:7" x14ac:dyDescent="0.25">
      <c r="A29" s="79" t="s">
        <v>127</v>
      </c>
      <c r="B29" s="107" t="str">
        <f>IF('Basic Sensings'!E49="CAN1","x",IF('Basic Sensings'!E49="CAN2","x","N/A"))</f>
        <v>N/A</v>
      </c>
      <c r="C29" s="107"/>
      <c r="D29" s="107"/>
      <c r="E29" s="107"/>
      <c r="F29" s="107"/>
      <c r="G29" s="107"/>
    </row>
    <row r="30" spans="1:7" x14ac:dyDescent="0.25">
      <c r="A30" s="79" t="s">
        <v>128</v>
      </c>
      <c r="B30" s="107" t="str">
        <f>IF(OR('Functions CMDs'!B35=" ACTIVE",'Functions CMDs'!B36="ACTIVE"),"x","N/A")</f>
        <v>N/A</v>
      </c>
      <c r="C30" s="107"/>
      <c r="D30" s="107"/>
      <c r="E30" s="107"/>
      <c r="F30" s="107"/>
      <c r="G30" s="107"/>
    </row>
    <row r="31" spans="1:7" x14ac:dyDescent="0.25">
      <c r="A31" s="79" t="s">
        <v>129</v>
      </c>
      <c r="B31" s="107" t="str">
        <f>IF('Functions CMDs'!B34 = "ACTIVE", "x", "N/A")</f>
        <v>x</v>
      </c>
      <c r="C31" s="107"/>
      <c r="D31" s="107"/>
      <c r="E31" s="107"/>
      <c r="F31" s="107"/>
      <c r="G31" s="107"/>
    </row>
    <row r="32" spans="1:7" x14ac:dyDescent="0.25">
      <c r="A32" s="79" t="s">
        <v>130</v>
      </c>
      <c r="B32" s="107" t="s">
        <v>228</v>
      </c>
      <c r="C32" s="107"/>
      <c r="D32" s="107"/>
      <c r="E32" s="107"/>
      <c r="F32" s="107"/>
      <c r="G32" s="107"/>
    </row>
    <row r="33" spans="1:7" x14ac:dyDescent="0.25">
      <c r="A33" s="79" t="s">
        <v>131</v>
      </c>
      <c r="B33" s="107" t="e">
        <f>IF('Basic Sensings'!#REF!="CAN1","x",IF('Basic Sensings'!#REF!="CAN2","x","N/A"))</f>
        <v>#REF!</v>
      </c>
      <c r="C33" s="107"/>
      <c r="D33" s="107"/>
      <c r="E33" s="107"/>
      <c r="F33" s="107"/>
      <c r="G33" s="107"/>
    </row>
    <row r="34" spans="1:7" x14ac:dyDescent="0.25">
      <c r="A34" s="79" t="s">
        <v>132</v>
      </c>
      <c r="B34" s="107" t="str">
        <f>IF(OR('Basic Sensings'!E3 = "CAN1",'Basic Sensings'!E4 = "CAN1",'Basic Sensings'!E5 = "CAN1",'Basic Sensings'!E6 = "CAN1",'Basic Sensings'!E7 = "CAN1",'Basic Sensings'!E8 = "CAN1",'Basic Sensings'!E9 = "CAN1",'Basic Sensings'!E10="CAN1",'Basic Sensings'!E3 = "CAN2",'Basic Sensings'!E4 ="CAN2",'Basic Sensings'!E5="CAN2",'Basic Sensings'!E6 ="CAN2",'Basic Sensings'!E7 ="CAN2",'Basic Sensings'!E8 ="CAN2",'Basic Sensings'!E9 ="CAN2",'Basic Sensings'!E10 ="CAN2"),"x","N/A")</f>
        <v>x</v>
      </c>
      <c r="C34" s="107"/>
      <c r="D34" s="107"/>
      <c r="E34" s="107"/>
      <c r="F34" s="107"/>
      <c r="G34" s="107"/>
    </row>
    <row r="35" spans="1:7" x14ac:dyDescent="0.25">
      <c r="A35" s="79" t="s">
        <v>133</v>
      </c>
      <c r="B35" s="107" t="e">
        <f>IF('Basic Sensings'!#REF! = "CAN1","x", IF('Basic Sensings'!#REF! = "CAN2", "x", "N/A"))</f>
        <v>#REF!</v>
      </c>
      <c r="C35" s="107"/>
      <c r="D35" s="107"/>
      <c r="E35" s="107"/>
      <c r="F35" s="107"/>
      <c r="G35" s="107"/>
    </row>
    <row r="36" spans="1:7" x14ac:dyDescent="0.25">
      <c r="A36" s="79" t="s">
        <v>134</v>
      </c>
      <c r="B36" s="107" t="str">
        <f>IF('Basic Sensings'!E25 = "CAN1","x",IF('Basic Sensings'!E25 = "CAN2","x","N/A"))</f>
        <v>x</v>
      </c>
      <c r="C36" s="107"/>
      <c r="D36" s="107"/>
      <c r="E36" s="107"/>
      <c r="F36" s="107"/>
      <c r="G36" s="107"/>
    </row>
    <row r="37" spans="1:7" x14ac:dyDescent="0.25">
      <c r="A37" s="79" t="s">
        <v>135</v>
      </c>
      <c r="B37" s="107" t="e">
        <f>IF(OR('Basic Sensings'!#REF! = "CAN1",'Basic Sensings'!#REF!= "CAN1",'Basic Sensings'!#REF! = "CAN1", 'Basic Sensings'!#REF!= "CAN1", 'Basic Sensings'!#REF!= "CAN1", 'Basic Sensings'!#REF! = "CAN2", 'Basic Sensings'!#REF! = "CAN2", 'Basic Sensings'!#REF! = "CAN2", 'Basic Sensings'!#REF! = "CAN2", 'Basic Sensings'!#REF! = "CAN2"), "x", "N/A")</f>
        <v>#REF!</v>
      </c>
      <c r="C37" s="107"/>
      <c r="D37" s="107"/>
      <c r="E37" s="107"/>
      <c r="F37" s="107"/>
      <c r="G37" s="107"/>
    </row>
    <row r="38" spans="1:7" x14ac:dyDescent="0.25">
      <c r="A38" s="79" t="s">
        <v>136</v>
      </c>
      <c r="B38" s="107" t="e">
        <f>IF('Basic Sensings'!#REF!="CAN1","x",IF('Basic Sensings'!#REF!="CAN2","x","N/A"))</f>
        <v>#REF!</v>
      </c>
      <c r="C38" s="107"/>
      <c r="D38" s="107"/>
      <c r="E38" s="107"/>
      <c r="F38" s="107"/>
      <c r="G38" s="107"/>
    </row>
    <row r="39" spans="1:7" x14ac:dyDescent="0.25">
      <c r="A39" s="79" t="s">
        <v>137</v>
      </c>
      <c r="B39" s="107" t="e">
        <f>IF(OR('Basic Sensings'!#REF! = "CAN1",'Basic Sensings'!#REF! = "CAN1",'Basic Sensings'!#REF! = "CAN1",'Basic Sensings'!#REF! = "CAN1",'Basic Sensings'!#REF! = "CAN1",'Basic Sensings'!#REF! = "CAN1",'Basic Sensings'!#REF! = "CAN1",'Basic Sensings'!#REF! = "CAN1",'Basic Sensings'!#REF! = "CAN1",'Basic Sensings'!#REF! = "CAN1",'Basic Sensings'!#REF! = "CAN2",'Basic Sensings'!#REF! = "CAN2",'Basic Sensings'!#REF! = "CAN2",'Basic Sensings'!#REF! = "CAN2",'Basic Sensings'!#REF! = "CAN2",'Basic Sensings'!#REF! = "CAN2",'Basic Sensings'!#REF! = "CAN2",'Basic Sensings'!#REF! = "CAN2",'Basic Sensings'!#REF! = "CAN2",'Basic Sensings'!#REF! = "CAN2"),"x","N/A")</f>
        <v>#REF!</v>
      </c>
      <c r="C39" s="107"/>
      <c r="D39" s="107"/>
      <c r="E39" s="107"/>
      <c r="F39" s="107"/>
      <c r="G39" s="107"/>
    </row>
    <row r="40" spans="1:7" x14ac:dyDescent="0.25">
      <c r="A40" s="79" t="s">
        <v>138</v>
      </c>
      <c r="B40" s="107" t="e">
        <f>IF('Basic Sensings'!#REF!="CAN1","x",IF('Basic Sensings'!#REF!="CAN2","x","N/A"))</f>
        <v>#REF!</v>
      </c>
      <c r="C40" s="107"/>
      <c r="D40" s="107"/>
      <c r="E40" s="107"/>
      <c r="F40" s="107"/>
      <c r="G40" s="107"/>
    </row>
    <row r="41" spans="1:7" x14ac:dyDescent="0.25">
      <c r="A41" s="79" t="s">
        <v>139</v>
      </c>
      <c r="B41" s="107" t="e">
        <f>IF('Basic Sensings'!#REF!="CAN1","x",IF('Basic Sensings'!#REF!="CAN2","x","N/A"))</f>
        <v>#REF!</v>
      </c>
      <c r="C41" s="107"/>
      <c r="D41" s="107"/>
      <c r="E41" s="107"/>
      <c r="F41" s="107"/>
      <c r="G41" s="107"/>
    </row>
    <row r="42" spans="1:7" x14ac:dyDescent="0.25">
      <c r="A42" s="79" t="s">
        <v>142</v>
      </c>
      <c r="B42" s="107" t="str">
        <f>IF(Summary!E2 = "PTS", "x", "N/A")</f>
        <v>N/A</v>
      </c>
      <c r="C42" s="107"/>
      <c r="D42" s="107"/>
      <c r="E42" s="107"/>
      <c r="F42" s="107"/>
      <c r="G42" s="107"/>
    </row>
  </sheetData>
  <mergeCells count="42">
    <mergeCell ref="B42:G42"/>
    <mergeCell ref="B36:G36"/>
    <mergeCell ref="B37:G37"/>
    <mergeCell ref="B38:G38"/>
    <mergeCell ref="B39:G39"/>
    <mergeCell ref="B40:G40"/>
    <mergeCell ref="B41:G41"/>
    <mergeCell ref="B35:G35"/>
    <mergeCell ref="B25:G25"/>
    <mergeCell ref="B26:G26"/>
    <mergeCell ref="B27:G27"/>
    <mergeCell ref="B28:G28"/>
    <mergeCell ref="B29:G29"/>
    <mergeCell ref="B30:G30"/>
    <mergeCell ref="B31:G31"/>
    <mergeCell ref="B32:G32"/>
    <mergeCell ref="B33:G33"/>
    <mergeCell ref="B34:G34"/>
    <mergeCell ref="B24:G24"/>
    <mergeCell ref="B13:G13"/>
    <mergeCell ref="B14:G14"/>
    <mergeCell ref="B15:G15"/>
    <mergeCell ref="B16:G16"/>
    <mergeCell ref="B17:G17"/>
    <mergeCell ref="B18:G18"/>
    <mergeCell ref="B19:G19"/>
    <mergeCell ref="B20:G20"/>
    <mergeCell ref="B21:G21"/>
    <mergeCell ref="B22:G22"/>
    <mergeCell ref="B23:G23"/>
    <mergeCell ref="B12:G12"/>
    <mergeCell ref="A1:A2"/>
    <mergeCell ref="B1:G2"/>
    <mergeCell ref="B3:G3"/>
    <mergeCell ref="B4:G4"/>
    <mergeCell ref="B5:G5"/>
    <mergeCell ref="B6:G6"/>
    <mergeCell ref="B7:G7"/>
    <mergeCell ref="B8:G8"/>
    <mergeCell ref="B9:G9"/>
    <mergeCell ref="B10:G10"/>
    <mergeCell ref="B11:G11"/>
  </mergeCells>
  <dataValidations count="1">
    <dataValidation type="list" allowBlank="1" showInputMessage="1" showErrorMessage="1" sqref="A43:A44">
      <formula1>Year</formula1>
    </dataValidation>
  </dataValidations>
  <pageMargins left="0.7" right="0.7" top="0.75" bottom="0.75" header="0.3" footer="0.3"/>
  <ignoredErrors>
    <ignoredError sqref="B39"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V66"/>
  <sheetViews>
    <sheetView tabSelected="1" topLeftCell="A4" zoomScale="85" zoomScaleNormal="85" workbookViewId="0">
      <selection activeCell="H39" sqref="H39"/>
    </sheetView>
  </sheetViews>
  <sheetFormatPr defaultRowHeight="15" x14ac:dyDescent="0.25"/>
  <cols>
    <col min="1" max="1" width="38.85546875" style="10" customWidth="1"/>
    <col min="2" max="2" width="40.5703125" style="16" customWidth="1"/>
    <col min="3" max="3" width="29.140625" style="16" customWidth="1"/>
    <col min="4" max="4" width="16.85546875" style="16" customWidth="1"/>
    <col min="5" max="5" width="19.42578125" style="6" customWidth="1"/>
    <col min="6" max="6" width="28.42578125" style="6" customWidth="1"/>
    <col min="7" max="7" width="22.5703125" style="40" customWidth="1"/>
    <col min="8" max="8" width="40.28515625" style="40" customWidth="1"/>
    <col min="9" max="9" width="16.5703125" style="40" customWidth="1"/>
    <col min="10" max="10" width="43.42578125" style="40" customWidth="1"/>
    <col min="11" max="11" width="16.5703125" style="40" customWidth="1"/>
    <col min="12" max="12" width="19.140625" style="40" customWidth="1"/>
    <col min="13" max="16" width="16.5703125" style="40" customWidth="1"/>
    <col min="17" max="17" width="12.5703125" style="6" customWidth="1"/>
    <col min="18" max="18" width="41.5703125" style="6" customWidth="1"/>
    <col min="19" max="22" width="9.140625" style="12"/>
  </cols>
  <sheetData>
    <row r="1" spans="1:18" s="12" customFormat="1" ht="30.75" customHeight="1" x14ac:dyDescent="0.5">
      <c r="A1" s="111" t="s">
        <v>103</v>
      </c>
      <c r="B1" s="111"/>
      <c r="C1" s="111"/>
      <c r="D1" s="111"/>
      <c r="E1" s="77">
        <f>Years</f>
        <v>2019</v>
      </c>
      <c r="F1" s="51" t="str">
        <f>make</f>
        <v>HYUNDAI</v>
      </c>
      <c r="G1" s="70" t="str">
        <f>model</f>
        <v>SANTAFE</v>
      </c>
      <c r="H1" s="42"/>
      <c r="I1" s="48"/>
      <c r="J1" s="48"/>
      <c r="K1" s="48"/>
      <c r="L1" s="48"/>
      <c r="M1" s="48"/>
      <c r="N1" s="48"/>
      <c r="O1" s="48"/>
      <c r="P1" s="48"/>
      <c r="Q1" s="113"/>
      <c r="R1" s="113"/>
    </row>
    <row r="2" spans="1:18" s="12" customFormat="1" ht="43.5" customHeight="1" x14ac:dyDescent="0.25">
      <c r="A2" s="112"/>
      <c r="B2" s="112"/>
      <c r="C2" s="112"/>
      <c r="D2" s="112"/>
      <c r="E2" s="68" t="str">
        <f>tran</f>
        <v>Auto</v>
      </c>
      <c r="F2" s="69" t="str">
        <f>car</f>
        <v>Key</v>
      </c>
      <c r="G2" s="29"/>
      <c r="H2" s="29"/>
      <c r="I2" s="29"/>
      <c r="J2" s="29"/>
      <c r="K2" s="29"/>
      <c r="L2" s="29"/>
      <c r="M2" s="29"/>
      <c r="N2" s="29"/>
      <c r="O2" s="29"/>
      <c r="P2" s="29"/>
      <c r="Q2" s="114"/>
      <c r="R2" s="114"/>
    </row>
    <row r="3" spans="1:18" s="46" customFormat="1" ht="19.5" customHeight="1" x14ac:dyDescent="0.25">
      <c r="A3" s="43" t="s">
        <v>6</v>
      </c>
      <c r="B3" s="43" t="s">
        <v>32</v>
      </c>
      <c r="C3" s="102" t="s">
        <v>267</v>
      </c>
      <c r="D3" s="43" t="s">
        <v>33</v>
      </c>
      <c r="E3" s="43" t="s">
        <v>77</v>
      </c>
      <c r="F3" s="43" t="s">
        <v>65</v>
      </c>
      <c r="G3" s="44" t="s">
        <v>63</v>
      </c>
      <c r="H3" s="43" t="s">
        <v>238</v>
      </c>
      <c r="I3" s="97" t="s">
        <v>239</v>
      </c>
      <c r="J3" s="97" t="s">
        <v>240</v>
      </c>
      <c r="K3" s="97" t="s">
        <v>241</v>
      </c>
      <c r="L3" s="98" t="s">
        <v>248</v>
      </c>
      <c r="M3" s="97" t="s">
        <v>242</v>
      </c>
      <c r="N3" s="97" t="s">
        <v>243</v>
      </c>
      <c r="O3" s="97" t="s">
        <v>244</v>
      </c>
      <c r="P3" s="97" t="s">
        <v>245</v>
      </c>
      <c r="Q3" s="43" t="s">
        <v>8</v>
      </c>
      <c r="R3" s="43" t="s">
        <v>5</v>
      </c>
    </row>
    <row r="4" spans="1:18" s="12" customFormat="1" ht="21" x14ac:dyDescent="0.35">
      <c r="A4" s="13"/>
      <c r="B4" s="15"/>
      <c r="C4" s="15"/>
      <c r="D4" s="15"/>
      <c r="E4" s="14"/>
      <c r="F4" s="14"/>
      <c r="G4" s="38"/>
      <c r="H4" s="38"/>
      <c r="I4" s="38"/>
      <c r="J4" s="38"/>
      <c r="K4" s="38"/>
      <c r="L4" s="38"/>
      <c r="M4" s="38"/>
      <c r="N4" s="38"/>
      <c r="O4" s="38"/>
      <c r="P4" s="38"/>
      <c r="Q4" s="14"/>
      <c r="R4" s="14"/>
    </row>
    <row r="5" spans="1:18" x14ac:dyDescent="0.25">
      <c r="A5" s="11"/>
      <c r="B5" s="105" t="s">
        <v>289</v>
      </c>
      <c r="C5" s="5" t="s">
        <v>1159</v>
      </c>
      <c r="D5" s="5" t="s">
        <v>34</v>
      </c>
      <c r="E5" s="17" t="s">
        <v>79</v>
      </c>
      <c r="F5" s="17" t="s">
        <v>1171</v>
      </c>
      <c r="G5" s="41">
        <v>0</v>
      </c>
      <c r="H5" s="99" t="s">
        <v>247</v>
      </c>
      <c r="I5" s="99"/>
      <c r="J5" s="99" t="s">
        <v>257</v>
      </c>
      <c r="K5" s="99" t="s">
        <v>258</v>
      </c>
      <c r="L5" s="99"/>
      <c r="M5" s="99"/>
      <c r="N5" s="99"/>
      <c r="O5" s="99"/>
      <c r="P5" s="99"/>
      <c r="Q5" s="93"/>
      <c r="R5" s="17"/>
    </row>
    <row r="6" spans="1:18" x14ac:dyDescent="0.25">
      <c r="A6" s="11"/>
      <c r="B6" s="105" t="s">
        <v>445</v>
      </c>
      <c r="C6" s="5" t="s">
        <v>1159</v>
      </c>
      <c r="D6" s="5" t="s">
        <v>34</v>
      </c>
      <c r="E6" s="17" t="s">
        <v>79</v>
      </c>
      <c r="F6" s="17" t="s">
        <v>1171</v>
      </c>
      <c r="G6" s="41">
        <v>0</v>
      </c>
      <c r="H6" s="99" t="s">
        <v>1174</v>
      </c>
      <c r="I6" s="37"/>
      <c r="J6" s="99" t="s">
        <v>257</v>
      </c>
      <c r="K6" s="99" t="s">
        <v>258</v>
      </c>
      <c r="L6" s="37"/>
      <c r="M6" s="37"/>
      <c r="N6" s="37"/>
      <c r="O6" s="37"/>
      <c r="P6" s="37"/>
      <c r="Q6" s="17"/>
      <c r="R6" s="17"/>
    </row>
    <row r="7" spans="1:18" x14ac:dyDescent="0.25">
      <c r="A7" s="11"/>
      <c r="B7" s="105" t="s">
        <v>453</v>
      </c>
      <c r="C7" s="5" t="s">
        <v>1159</v>
      </c>
      <c r="D7" s="5" t="s">
        <v>34</v>
      </c>
      <c r="E7" s="17" t="s">
        <v>79</v>
      </c>
      <c r="F7" s="17" t="s">
        <v>1171</v>
      </c>
      <c r="G7" s="41">
        <v>0</v>
      </c>
      <c r="H7" s="99" t="s">
        <v>1175</v>
      </c>
      <c r="I7" s="37"/>
      <c r="J7" s="99" t="s">
        <v>257</v>
      </c>
      <c r="K7" s="99" t="s">
        <v>258</v>
      </c>
      <c r="L7" s="37"/>
      <c r="M7" s="37"/>
      <c r="N7" s="37"/>
      <c r="O7" s="37"/>
      <c r="P7" s="37"/>
      <c r="Q7" s="17"/>
      <c r="R7" s="21"/>
    </row>
    <row r="8" spans="1:18" x14ac:dyDescent="0.25">
      <c r="A8" s="11"/>
      <c r="B8" s="105" t="s">
        <v>461</v>
      </c>
      <c r="C8" s="5" t="s">
        <v>1159</v>
      </c>
      <c r="D8" s="5" t="s">
        <v>34</v>
      </c>
      <c r="E8" s="17" t="s">
        <v>79</v>
      </c>
      <c r="F8" s="17" t="s">
        <v>1171</v>
      </c>
      <c r="G8" s="41">
        <v>0</v>
      </c>
      <c r="H8" s="99" t="s">
        <v>1176</v>
      </c>
      <c r="I8" s="37"/>
      <c r="J8" s="99" t="s">
        <v>257</v>
      </c>
      <c r="K8" s="99" t="s">
        <v>258</v>
      </c>
      <c r="L8" s="37"/>
      <c r="M8" s="37"/>
      <c r="N8" s="37"/>
      <c r="O8" s="37"/>
      <c r="P8" s="37"/>
      <c r="Q8" s="17"/>
      <c r="R8" s="17"/>
    </row>
    <row r="9" spans="1:18" x14ac:dyDescent="0.25">
      <c r="A9" s="11"/>
      <c r="B9" s="105" t="s">
        <v>489</v>
      </c>
      <c r="C9" s="5" t="s">
        <v>1159</v>
      </c>
      <c r="D9" s="5" t="s">
        <v>34</v>
      </c>
      <c r="E9" s="17" t="s">
        <v>79</v>
      </c>
      <c r="F9" s="17" t="s">
        <v>1171</v>
      </c>
      <c r="G9" s="41">
        <v>0</v>
      </c>
      <c r="H9" s="99" t="s">
        <v>246</v>
      </c>
      <c r="J9" s="99" t="s">
        <v>257</v>
      </c>
      <c r="K9" s="99" t="s">
        <v>258</v>
      </c>
      <c r="L9" s="37"/>
      <c r="M9" s="37"/>
      <c r="N9" s="37"/>
      <c r="O9" s="37"/>
      <c r="P9" s="37"/>
      <c r="Q9" s="17"/>
      <c r="R9" s="17"/>
    </row>
    <row r="10" spans="1:18" x14ac:dyDescent="0.25">
      <c r="A10" s="11"/>
      <c r="B10" s="105" t="s">
        <v>509</v>
      </c>
      <c r="C10" s="5" t="s">
        <v>1159</v>
      </c>
      <c r="D10" s="5" t="s">
        <v>34</v>
      </c>
      <c r="E10" s="17" t="s">
        <v>79</v>
      </c>
      <c r="F10" s="17" t="s">
        <v>1171</v>
      </c>
      <c r="G10" s="41">
        <v>0</v>
      </c>
      <c r="H10" s="99" t="s">
        <v>1177</v>
      </c>
      <c r="I10" s="37"/>
      <c r="J10" s="99" t="s">
        <v>257</v>
      </c>
      <c r="K10" s="99" t="s">
        <v>258</v>
      </c>
      <c r="L10" s="37"/>
      <c r="M10" s="37"/>
      <c r="N10" s="37"/>
      <c r="O10" s="37"/>
      <c r="P10" s="37"/>
      <c r="Q10" s="17"/>
      <c r="R10" s="17"/>
    </row>
    <row r="11" spans="1:18" x14ac:dyDescent="0.25">
      <c r="A11" s="11"/>
      <c r="B11" s="105" t="s">
        <v>294</v>
      </c>
      <c r="C11" s="5" t="s">
        <v>1160</v>
      </c>
      <c r="D11" s="5" t="s">
        <v>34</v>
      </c>
      <c r="E11" s="17" t="s">
        <v>79</v>
      </c>
      <c r="F11" s="17" t="s">
        <v>1171</v>
      </c>
      <c r="G11" s="41">
        <v>0</v>
      </c>
      <c r="H11" s="99" t="s">
        <v>1178</v>
      </c>
      <c r="I11" s="37"/>
      <c r="J11" s="99" t="s">
        <v>257</v>
      </c>
      <c r="K11" s="99" t="s">
        <v>258</v>
      </c>
      <c r="L11" s="37"/>
      <c r="M11" s="37"/>
      <c r="N11" s="37"/>
      <c r="O11" s="37"/>
      <c r="P11" s="37"/>
      <c r="Q11" s="17"/>
      <c r="R11" s="17"/>
    </row>
    <row r="12" spans="1:18" x14ac:dyDescent="0.25">
      <c r="A12" s="11"/>
      <c r="B12" s="105" t="s">
        <v>296</v>
      </c>
      <c r="C12" s="5" t="s">
        <v>1160</v>
      </c>
      <c r="D12" s="5" t="s">
        <v>34</v>
      </c>
      <c r="E12" s="17" t="s">
        <v>79</v>
      </c>
      <c r="F12" s="17" t="s">
        <v>1171</v>
      </c>
      <c r="G12" s="41">
        <v>0</v>
      </c>
      <c r="H12" s="99" t="s">
        <v>1179</v>
      </c>
      <c r="I12" s="37"/>
      <c r="J12" s="99" t="s">
        <v>257</v>
      </c>
      <c r="K12" s="99" t="s">
        <v>258</v>
      </c>
      <c r="L12" s="37"/>
      <c r="M12" s="37"/>
      <c r="N12" s="37"/>
      <c r="O12" s="37"/>
      <c r="P12" s="37"/>
      <c r="Q12" s="17"/>
      <c r="R12" s="17"/>
    </row>
    <row r="13" spans="1:18" x14ac:dyDescent="0.25">
      <c r="A13" s="11"/>
      <c r="B13" s="105" t="s">
        <v>298</v>
      </c>
      <c r="C13" s="5" t="s">
        <v>1160</v>
      </c>
      <c r="D13" s="5" t="s">
        <v>34</v>
      </c>
      <c r="E13" s="17" t="s">
        <v>79</v>
      </c>
      <c r="F13" s="17" t="s">
        <v>1171</v>
      </c>
      <c r="G13" s="41">
        <v>1</v>
      </c>
      <c r="H13" s="99" t="s">
        <v>247</v>
      </c>
      <c r="J13" s="99" t="s">
        <v>257</v>
      </c>
      <c r="K13" s="99" t="s">
        <v>258</v>
      </c>
      <c r="L13" s="37"/>
      <c r="M13" s="37"/>
      <c r="N13" s="37"/>
      <c r="O13" s="37"/>
      <c r="P13" s="37"/>
      <c r="Q13" s="17"/>
      <c r="R13" s="17"/>
    </row>
    <row r="14" spans="1:18" x14ac:dyDescent="0.25">
      <c r="A14" s="11"/>
      <c r="B14" s="105" t="s">
        <v>302</v>
      </c>
      <c r="C14" s="5" t="s">
        <v>1160</v>
      </c>
      <c r="D14" s="5" t="s">
        <v>34</v>
      </c>
      <c r="E14" s="17" t="s">
        <v>79</v>
      </c>
      <c r="F14" s="17" t="s">
        <v>1171</v>
      </c>
      <c r="G14" s="41">
        <v>1</v>
      </c>
      <c r="H14" s="99" t="s">
        <v>1174</v>
      </c>
      <c r="I14" s="37"/>
      <c r="J14" s="99" t="s">
        <v>257</v>
      </c>
      <c r="K14" s="99" t="s">
        <v>258</v>
      </c>
      <c r="L14" s="37"/>
      <c r="M14" s="37"/>
      <c r="N14" s="37"/>
      <c r="O14" s="37"/>
      <c r="P14" s="37"/>
      <c r="Q14" s="17"/>
      <c r="R14" s="17"/>
    </row>
    <row r="15" spans="1:18" x14ac:dyDescent="0.25">
      <c r="A15" s="11"/>
      <c r="B15" s="105" t="s">
        <v>308</v>
      </c>
      <c r="C15" s="5" t="s">
        <v>1160</v>
      </c>
      <c r="D15" s="5" t="s">
        <v>34</v>
      </c>
      <c r="E15" s="17" t="s">
        <v>79</v>
      </c>
      <c r="F15" s="17" t="s">
        <v>1171</v>
      </c>
      <c r="G15" s="41">
        <v>1</v>
      </c>
      <c r="H15" s="99" t="s">
        <v>1175</v>
      </c>
      <c r="I15" s="37"/>
      <c r="J15" s="99" t="s">
        <v>257</v>
      </c>
      <c r="K15" s="99" t="s">
        <v>258</v>
      </c>
      <c r="L15" s="37"/>
      <c r="M15" s="37"/>
      <c r="N15" s="37"/>
      <c r="O15" s="37"/>
      <c r="P15" s="37"/>
      <c r="Q15" s="17"/>
      <c r="R15" s="17"/>
    </row>
    <row r="16" spans="1:18" x14ac:dyDescent="0.25">
      <c r="A16" s="11"/>
      <c r="B16" s="105" t="s">
        <v>312</v>
      </c>
      <c r="C16" s="5" t="s">
        <v>1160</v>
      </c>
      <c r="D16" s="5" t="s">
        <v>34</v>
      </c>
      <c r="E16" s="17" t="s">
        <v>79</v>
      </c>
      <c r="F16" s="17" t="s">
        <v>1171</v>
      </c>
      <c r="G16" s="41">
        <v>1</v>
      </c>
      <c r="H16" s="99" t="s">
        <v>1176</v>
      </c>
      <c r="I16" s="37"/>
      <c r="J16" s="99" t="s">
        <v>257</v>
      </c>
      <c r="K16" s="99" t="s">
        <v>258</v>
      </c>
      <c r="L16" s="37"/>
      <c r="M16" s="37"/>
      <c r="N16" s="37"/>
      <c r="O16" s="37"/>
      <c r="P16" s="37"/>
      <c r="Q16" s="17"/>
      <c r="R16" s="17"/>
    </row>
    <row r="17" spans="1:18" x14ac:dyDescent="0.25">
      <c r="A17" s="11"/>
      <c r="B17" s="105" t="s">
        <v>314</v>
      </c>
      <c r="C17" s="5" t="s">
        <v>1160</v>
      </c>
      <c r="D17" s="5" t="s">
        <v>34</v>
      </c>
      <c r="E17" s="17" t="s">
        <v>79</v>
      </c>
      <c r="F17" s="17" t="s">
        <v>1171</v>
      </c>
      <c r="G17" s="41">
        <v>1</v>
      </c>
      <c r="H17" s="99" t="s">
        <v>246</v>
      </c>
      <c r="I17" s="37"/>
      <c r="J17" s="99" t="s">
        <v>257</v>
      </c>
      <c r="K17" s="99" t="s">
        <v>258</v>
      </c>
      <c r="L17" s="37"/>
      <c r="M17" s="37"/>
      <c r="N17" s="37"/>
      <c r="O17" s="37"/>
      <c r="P17" s="37"/>
      <c r="Q17" s="17"/>
      <c r="R17" s="17"/>
    </row>
    <row r="18" spans="1:18" x14ac:dyDescent="0.25">
      <c r="A18" s="11"/>
      <c r="B18" s="105" t="s">
        <v>320</v>
      </c>
      <c r="C18" s="5" t="s">
        <v>1160</v>
      </c>
      <c r="D18" s="5" t="s">
        <v>34</v>
      </c>
      <c r="E18" s="17" t="s">
        <v>79</v>
      </c>
      <c r="F18" s="17" t="s">
        <v>1171</v>
      </c>
      <c r="G18" s="41">
        <v>1</v>
      </c>
      <c r="H18" s="99" t="s">
        <v>1177</v>
      </c>
      <c r="I18" s="37"/>
      <c r="J18" s="99" t="s">
        <v>257</v>
      </c>
      <c r="K18" s="99" t="s">
        <v>258</v>
      </c>
      <c r="L18" s="37"/>
      <c r="M18" s="37"/>
      <c r="N18" s="37"/>
      <c r="O18" s="37"/>
      <c r="P18" s="37"/>
      <c r="Q18" s="17"/>
      <c r="R18" s="17"/>
    </row>
    <row r="19" spans="1:18" x14ac:dyDescent="0.25">
      <c r="A19" s="11"/>
      <c r="B19" s="105" t="s">
        <v>353</v>
      </c>
      <c r="C19" s="5" t="s">
        <v>1161</v>
      </c>
      <c r="D19" s="5" t="s">
        <v>34</v>
      </c>
      <c r="E19" s="17" t="s">
        <v>79</v>
      </c>
      <c r="F19" s="17" t="s">
        <v>1171</v>
      </c>
      <c r="G19" s="41">
        <v>1</v>
      </c>
      <c r="H19" s="99" t="s">
        <v>1178</v>
      </c>
      <c r="I19" s="37"/>
      <c r="J19" s="99" t="s">
        <v>257</v>
      </c>
      <c r="K19" s="99" t="s">
        <v>258</v>
      </c>
      <c r="L19" s="37"/>
      <c r="M19" s="37"/>
      <c r="N19" s="37"/>
      <c r="O19" s="37"/>
      <c r="P19" s="37"/>
      <c r="Q19" s="17"/>
      <c r="R19" s="17"/>
    </row>
    <row r="20" spans="1:18" x14ac:dyDescent="0.25">
      <c r="A20" s="11"/>
      <c r="B20" s="105" t="s">
        <v>355</v>
      </c>
      <c r="C20" s="5" t="s">
        <v>1161</v>
      </c>
      <c r="D20" s="5" t="s">
        <v>34</v>
      </c>
      <c r="E20" s="17" t="s">
        <v>79</v>
      </c>
      <c r="F20" s="17" t="s">
        <v>1171</v>
      </c>
      <c r="G20" s="41">
        <v>1</v>
      </c>
      <c r="H20" s="99" t="s">
        <v>1179</v>
      </c>
      <c r="I20" s="37"/>
      <c r="J20" s="99" t="s">
        <v>257</v>
      </c>
      <c r="K20" s="99" t="s">
        <v>258</v>
      </c>
      <c r="L20" s="37"/>
      <c r="M20" s="37"/>
      <c r="N20" s="37"/>
      <c r="O20" s="37"/>
      <c r="P20" s="37"/>
      <c r="Q20" s="17"/>
      <c r="R20" s="17"/>
    </row>
    <row r="21" spans="1:18" x14ac:dyDescent="0.25">
      <c r="A21" s="11"/>
      <c r="B21" s="105" t="s">
        <v>361</v>
      </c>
      <c r="C21" s="5" t="s">
        <v>1161</v>
      </c>
      <c r="D21" s="5" t="s">
        <v>34</v>
      </c>
      <c r="E21" s="17" t="s">
        <v>79</v>
      </c>
      <c r="F21" s="17" t="s">
        <v>1171</v>
      </c>
      <c r="G21" s="41">
        <v>2</v>
      </c>
      <c r="H21" s="99" t="s">
        <v>247</v>
      </c>
      <c r="I21" s="37"/>
      <c r="J21" s="99" t="s">
        <v>257</v>
      </c>
      <c r="K21" s="99" t="s">
        <v>258</v>
      </c>
      <c r="L21" s="37"/>
      <c r="M21" s="37"/>
      <c r="N21" s="37"/>
      <c r="O21" s="37"/>
      <c r="P21" s="37"/>
      <c r="Q21" s="17"/>
      <c r="R21" s="17"/>
    </row>
    <row r="22" spans="1:18" x14ac:dyDescent="0.25">
      <c r="A22" s="11"/>
      <c r="B22" s="105" t="s">
        <v>515</v>
      </c>
      <c r="C22" s="5" t="s">
        <v>1161</v>
      </c>
      <c r="D22" s="5" t="s">
        <v>34</v>
      </c>
      <c r="E22" s="17" t="s">
        <v>79</v>
      </c>
      <c r="F22" s="17" t="s">
        <v>1171</v>
      </c>
      <c r="G22" s="41">
        <v>2</v>
      </c>
      <c r="H22" s="99" t="s">
        <v>1174</v>
      </c>
      <c r="I22" s="37"/>
      <c r="J22" s="99" t="s">
        <v>257</v>
      </c>
      <c r="K22" s="99" t="s">
        <v>258</v>
      </c>
      <c r="L22" s="37"/>
      <c r="M22" s="37"/>
      <c r="N22" s="37"/>
      <c r="O22" s="37"/>
      <c r="P22" s="37"/>
      <c r="Q22" s="17"/>
      <c r="R22" s="17"/>
    </row>
    <row r="23" spans="1:18" x14ac:dyDescent="0.25">
      <c r="A23" s="11"/>
      <c r="B23" s="105" t="s">
        <v>535</v>
      </c>
      <c r="C23" s="5" t="s">
        <v>1161</v>
      </c>
      <c r="D23" s="5" t="s">
        <v>34</v>
      </c>
      <c r="E23" s="17" t="s">
        <v>79</v>
      </c>
      <c r="F23" s="17" t="s">
        <v>1171</v>
      </c>
      <c r="G23" s="41">
        <v>2</v>
      </c>
      <c r="H23" s="99" t="s">
        <v>1175</v>
      </c>
      <c r="I23" s="37"/>
      <c r="J23" s="99" t="s">
        <v>257</v>
      </c>
      <c r="K23" s="99" t="s">
        <v>258</v>
      </c>
      <c r="L23" s="37"/>
      <c r="M23" s="37"/>
      <c r="N23" s="37"/>
      <c r="O23" s="37"/>
      <c r="P23" s="37"/>
      <c r="Q23" s="17"/>
      <c r="R23" s="17"/>
    </row>
    <row r="24" spans="1:18" x14ac:dyDescent="0.25">
      <c r="A24" s="11"/>
      <c r="B24" s="105" t="s">
        <v>537</v>
      </c>
      <c r="C24" s="5" t="s">
        <v>1161</v>
      </c>
      <c r="D24" s="5" t="s">
        <v>34</v>
      </c>
      <c r="E24" s="17" t="s">
        <v>79</v>
      </c>
      <c r="F24" s="17" t="s">
        <v>1171</v>
      </c>
      <c r="G24" s="41">
        <v>2</v>
      </c>
      <c r="H24" s="99" t="s">
        <v>1176</v>
      </c>
      <c r="I24" s="37"/>
      <c r="J24" s="99" t="s">
        <v>257</v>
      </c>
      <c r="K24" s="99" t="s">
        <v>258</v>
      </c>
      <c r="L24" s="37"/>
      <c r="M24" s="37"/>
      <c r="N24" s="37"/>
      <c r="O24" s="37"/>
      <c r="P24" s="37"/>
      <c r="Q24" s="17"/>
      <c r="R24" s="17"/>
    </row>
    <row r="25" spans="1:18" x14ac:dyDescent="0.25">
      <c r="A25" s="11"/>
      <c r="B25" s="105" t="s">
        <v>539</v>
      </c>
      <c r="C25" s="5" t="s">
        <v>1161</v>
      </c>
      <c r="D25" s="5" t="s">
        <v>34</v>
      </c>
      <c r="E25" s="17" t="s">
        <v>79</v>
      </c>
      <c r="F25" s="17" t="s">
        <v>1171</v>
      </c>
      <c r="G25" s="41">
        <v>2</v>
      </c>
      <c r="H25" s="99" t="s">
        <v>246</v>
      </c>
      <c r="I25" s="37"/>
      <c r="J25" s="99" t="s">
        <v>257</v>
      </c>
      <c r="K25" s="99" t="s">
        <v>258</v>
      </c>
      <c r="L25" s="37"/>
      <c r="M25" s="37"/>
      <c r="N25" s="37"/>
      <c r="O25" s="37"/>
      <c r="P25" s="37"/>
      <c r="Q25" s="17"/>
      <c r="R25" s="21"/>
    </row>
    <row r="26" spans="1:18" x14ac:dyDescent="0.25">
      <c r="A26" s="11"/>
      <c r="B26" s="105" t="s">
        <v>543</v>
      </c>
      <c r="C26" s="5" t="s">
        <v>1161</v>
      </c>
      <c r="D26" s="5" t="s">
        <v>34</v>
      </c>
      <c r="E26" s="17" t="s">
        <v>79</v>
      </c>
      <c r="F26" s="17" t="s">
        <v>1171</v>
      </c>
      <c r="G26" s="41">
        <v>2</v>
      </c>
      <c r="H26" s="99" t="s">
        <v>1177</v>
      </c>
      <c r="I26" s="37"/>
      <c r="J26" s="99" t="s">
        <v>257</v>
      </c>
      <c r="K26" s="99" t="s">
        <v>258</v>
      </c>
      <c r="L26" s="37"/>
      <c r="M26" s="37"/>
      <c r="N26" s="37"/>
      <c r="O26" s="37"/>
      <c r="P26" s="37"/>
      <c r="Q26" s="17"/>
      <c r="R26" s="17"/>
    </row>
    <row r="27" spans="1:18" x14ac:dyDescent="0.25">
      <c r="A27" s="11"/>
      <c r="B27" s="105" t="s">
        <v>545</v>
      </c>
      <c r="C27" s="5" t="s">
        <v>1161</v>
      </c>
      <c r="D27" s="5" t="s">
        <v>34</v>
      </c>
      <c r="E27" s="17" t="s">
        <v>79</v>
      </c>
      <c r="F27" s="17" t="s">
        <v>1171</v>
      </c>
      <c r="G27" s="41">
        <v>2</v>
      </c>
      <c r="H27" s="99" t="s">
        <v>1178</v>
      </c>
      <c r="I27" s="37"/>
      <c r="J27" s="99" t="s">
        <v>257</v>
      </c>
      <c r="K27" s="99" t="s">
        <v>258</v>
      </c>
      <c r="L27" s="37"/>
      <c r="M27" s="37"/>
      <c r="N27" s="37"/>
      <c r="O27" s="37"/>
      <c r="P27" s="37"/>
      <c r="Q27" s="17"/>
      <c r="R27" s="17"/>
    </row>
    <row r="28" spans="1:18" x14ac:dyDescent="0.25">
      <c r="A28" s="11"/>
      <c r="B28" s="105" t="s">
        <v>579</v>
      </c>
      <c r="C28" s="5" t="s">
        <v>1161</v>
      </c>
      <c r="D28" s="5" t="s">
        <v>34</v>
      </c>
      <c r="E28" s="17" t="s">
        <v>79</v>
      </c>
      <c r="F28" s="17" t="s">
        <v>1171</v>
      </c>
      <c r="G28" s="41">
        <v>2</v>
      </c>
      <c r="H28" s="99" t="s">
        <v>1179</v>
      </c>
      <c r="I28" s="37"/>
      <c r="J28" s="99" t="s">
        <v>257</v>
      </c>
      <c r="K28" s="99" t="s">
        <v>258</v>
      </c>
      <c r="L28" s="37"/>
      <c r="M28" s="37"/>
      <c r="N28" s="37"/>
      <c r="O28" s="37"/>
      <c r="P28" s="37"/>
      <c r="Q28" s="17"/>
      <c r="R28" s="17"/>
    </row>
    <row r="29" spans="1:18" x14ac:dyDescent="0.25">
      <c r="A29" s="11"/>
      <c r="B29" s="105" t="s">
        <v>581</v>
      </c>
      <c r="C29" s="5" t="s">
        <v>1161</v>
      </c>
      <c r="D29" s="5" t="s">
        <v>34</v>
      </c>
      <c r="E29" s="17" t="s">
        <v>79</v>
      </c>
      <c r="F29" s="17" t="s">
        <v>1171</v>
      </c>
      <c r="G29" s="41">
        <v>3</v>
      </c>
      <c r="H29" s="99" t="s">
        <v>247</v>
      </c>
      <c r="I29" s="37"/>
      <c r="J29" s="99" t="s">
        <v>257</v>
      </c>
      <c r="K29" s="99" t="s">
        <v>258</v>
      </c>
      <c r="L29" s="37"/>
      <c r="M29" s="37"/>
      <c r="N29" s="37"/>
      <c r="O29" s="37"/>
      <c r="P29" s="37"/>
      <c r="Q29" s="17"/>
      <c r="R29" s="17"/>
    </row>
    <row r="30" spans="1:18" x14ac:dyDescent="0.25">
      <c r="A30" s="11"/>
      <c r="B30" s="105" t="s">
        <v>406</v>
      </c>
      <c r="C30" s="5" t="s">
        <v>1163</v>
      </c>
      <c r="D30" s="5" t="s">
        <v>34</v>
      </c>
      <c r="E30" s="17" t="s">
        <v>79</v>
      </c>
      <c r="F30" s="17" t="s">
        <v>1171</v>
      </c>
      <c r="G30" s="41">
        <v>3</v>
      </c>
      <c r="H30" s="99" t="s">
        <v>1174</v>
      </c>
      <c r="I30" s="37"/>
      <c r="J30" s="99" t="s">
        <v>257</v>
      </c>
      <c r="K30" s="99" t="s">
        <v>258</v>
      </c>
      <c r="L30" s="37"/>
      <c r="M30" s="37"/>
      <c r="N30" s="37"/>
      <c r="O30" s="37"/>
      <c r="P30" s="37"/>
      <c r="Q30" s="17"/>
      <c r="R30" s="17"/>
    </row>
    <row r="31" spans="1:18" x14ac:dyDescent="0.25">
      <c r="A31" s="11"/>
      <c r="B31" s="105" t="s">
        <v>410</v>
      </c>
      <c r="C31" s="5" t="s">
        <v>1163</v>
      </c>
      <c r="D31" s="5" t="s">
        <v>34</v>
      </c>
      <c r="E31" s="17" t="s">
        <v>79</v>
      </c>
      <c r="F31" s="17" t="s">
        <v>1171</v>
      </c>
      <c r="G31" s="41">
        <v>3</v>
      </c>
      <c r="H31" s="99" t="s">
        <v>1175</v>
      </c>
      <c r="I31" s="37"/>
      <c r="J31" s="99" t="s">
        <v>257</v>
      </c>
      <c r="K31" s="99" t="s">
        <v>258</v>
      </c>
      <c r="L31" s="37"/>
      <c r="M31" s="37"/>
      <c r="N31" s="37"/>
      <c r="O31" s="37"/>
      <c r="P31" s="37"/>
      <c r="Q31" s="17"/>
      <c r="R31" s="17"/>
    </row>
    <row r="32" spans="1:18" x14ac:dyDescent="0.25">
      <c r="A32" s="11"/>
      <c r="B32" s="105" t="s">
        <v>412</v>
      </c>
      <c r="C32" s="5" t="s">
        <v>1163</v>
      </c>
      <c r="D32" s="5" t="s">
        <v>34</v>
      </c>
      <c r="E32" s="17" t="s">
        <v>79</v>
      </c>
      <c r="F32" s="17" t="s">
        <v>1171</v>
      </c>
      <c r="G32" s="41">
        <v>3</v>
      </c>
      <c r="H32" s="99" t="s">
        <v>1176</v>
      </c>
      <c r="I32" s="37"/>
      <c r="J32" s="99" t="s">
        <v>257</v>
      </c>
      <c r="K32" s="99" t="s">
        <v>258</v>
      </c>
      <c r="L32" s="37"/>
      <c r="M32" s="37"/>
      <c r="N32" s="37"/>
      <c r="O32" s="37"/>
      <c r="P32" s="37"/>
      <c r="Q32" s="17"/>
      <c r="R32" s="17"/>
    </row>
    <row r="33" spans="1:18" x14ac:dyDescent="0.25">
      <c r="A33" s="11"/>
      <c r="B33" s="105" t="s">
        <v>414</v>
      </c>
      <c r="C33" s="5" t="s">
        <v>1163</v>
      </c>
      <c r="D33" s="5" t="s">
        <v>34</v>
      </c>
      <c r="E33" s="17" t="s">
        <v>79</v>
      </c>
      <c r="F33" s="17" t="s">
        <v>1171</v>
      </c>
      <c r="G33" s="41">
        <v>3</v>
      </c>
      <c r="H33" s="99" t="s">
        <v>246</v>
      </c>
      <c r="I33" s="37"/>
      <c r="J33" s="99" t="s">
        <v>257</v>
      </c>
      <c r="K33" s="99" t="s">
        <v>258</v>
      </c>
      <c r="L33" s="37"/>
      <c r="M33" s="37"/>
      <c r="N33" s="37"/>
      <c r="O33" s="37"/>
      <c r="P33" s="37"/>
      <c r="Q33" s="17"/>
      <c r="R33" s="17"/>
    </row>
    <row r="34" spans="1:18" x14ac:dyDescent="0.25">
      <c r="A34" s="11"/>
      <c r="B34" s="105" t="s">
        <v>416</v>
      </c>
      <c r="C34" s="5" t="s">
        <v>1163</v>
      </c>
      <c r="D34" s="5" t="s">
        <v>34</v>
      </c>
      <c r="E34" s="17" t="s">
        <v>79</v>
      </c>
      <c r="F34" s="17" t="s">
        <v>1171</v>
      </c>
      <c r="G34" s="41">
        <v>3</v>
      </c>
      <c r="H34" s="99" t="s">
        <v>1177</v>
      </c>
      <c r="I34" s="37"/>
      <c r="J34" s="99" t="s">
        <v>257</v>
      </c>
      <c r="K34" s="99" t="s">
        <v>258</v>
      </c>
      <c r="L34" s="37"/>
      <c r="M34" s="37"/>
      <c r="N34" s="37"/>
      <c r="O34" s="37"/>
      <c r="P34" s="37"/>
      <c r="Q34" s="17"/>
      <c r="R34" s="17"/>
    </row>
    <row r="35" spans="1:18" x14ac:dyDescent="0.25">
      <c r="A35" s="11"/>
      <c r="B35" s="105" t="s">
        <v>422</v>
      </c>
      <c r="C35" s="5" t="s">
        <v>1163</v>
      </c>
      <c r="D35" s="5" t="s">
        <v>34</v>
      </c>
      <c r="E35" s="17" t="s">
        <v>79</v>
      </c>
      <c r="F35" s="17" t="s">
        <v>1171</v>
      </c>
      <c r="G35" s="41">
        <v>3</v>
      </c>
      <c r="H35" s="99" t="s">
        <v>1178</v>
      </c>
      <c r="I35" s="37"/>
      <c r="J35" s="99" t="s">
        <v>257</v>
      </c>
      <c r="K35" s="99" t="s">
        <v>258</v>
      </c>
      <c r="L35" s="37"/>
      <c r="M35" s="37"/>
      <c r="N35" s="37"/>
      <c r="O35" s="37"/>
      <c r="P35" s="37"/>
      <c r="Q35" s="17"/>
      <c r="R35" s="17"/>
    </row>
    <row r="36" spans="1:18" x14ac:dyDescent="0.25">
      <c r="A36" s="11"/>
      <c r="B36" s="105" t="s">
        <v>426</v>
      </c>
      <c r="C36" s="5" t="s">
        <v>1163</v>
      </c>
      <c r="D36" s="5" t="s">
        <v>34</v>
      </c>
      <c r="E36" s="17" t="s">
        <v>79</v>
      </c>
      <c r="F36" s="17" t="s">
        <v>1171</v>
      </c>
      <c r="G36" s="41">
        <v>3</v>
      </c>
      <c r="H36" s="99" t="s">
        <v>1179</v>
      </c>
      <c r="I36" s="37"/>
      <c r="J36" s="99" t="s">
        <v>257</v>
      </c>
      <c r="K36" s="99" t="s">
        <v>258</v>
      </c>
      <c r="L36" s="37"/>
      <c r="M36" s="37"/>
      <c r="N36" s="37"/>
      <c r="O36" s="37"/>
      <c r="P36" s="37"/>
      <c r="Q36" s="17"/>
      <c r="R36" s="17"/>
    </row>
    <row r="37" spans="1:18" x14ac:dyDescent="0.25">
      <c r="A37" s="11"/>
      <c r="B37" s="105" t="s">
        <v>585</v>
      </c>
      <c r="C37" s="5" t="s">
        <v>1163</v>
      </c>
      <c r="D37" s="5" t="s">
        <v>34</v>
      </c>
      <c r="E37" s="17" t="s">
        <v>79</v>
      </c>
      <c r="F37" s="17" t="s">
        <v>1171</v>
      </c>
      <c r="G37" s="41">
        <v>4</v>
      </c>
      <c r="H37" s="99" t="s">
        <v>247</v>
      </c>
      <c r="I37" s="37"/>
      <c r="J37" s="99" t="s">
        <v>257</v>
      </c>
      <c r="K37" s="99" t="s">
        <v>258</v>
      </c>
      <c r="L37" s="37"/>
      <c r="M37" s="37"/>
      <c r="N37" s="37"/>
      <c r="O37" s="37"/>
      <c r="P37" s="37"/>
      <c r="Q37" s="17"/>
      <c r="R37" s="17"/>
    </row>
    <row r="38" spans="1:18" x14ac:dyDescent="0.25">
      <c r="A38" s="11"/>
      <c r="B38" s="105" t="s">
        <v>431</v>
      </c>
      <c r="C38" s="5" t="s">
        <v>1173</v>
      </c>
      <c r="D38" s="5" t="s">
        <v>34</v>
      </c>
      <c r="E38" s="17" t="s">
        <v>79</v>
      </c>
      <c r="F38" s="17" t="s">
        <v>1171</v>
      </c>
      <c r="G38" s="41">
        <v>4</v>
      </c>
      <c r="H38" s="99" t="s">
        <v>1174</v>
      </c>
      <c r="I38" s="37"/>
      <c r="J38" s="99" t="s">
        <v>257</v>
      </c>
      <c r="K38" s="99" t="s">
        <v>258</v>
      </c>
      <c r="L38" s="37"/>
      <c r="M38" s="37"/>
      <c r="N38" s="37"/>
      <c r="O38" s="37"/>
      <c r="P38" s="37"/>
      <c r="Q38" s="17"/>
      <c r="R38" s="17"/>
    </row>
    <row r="39" spans="1:18" x14ac:dyDescent="0.25">
      <c r="A39" s="11"/>
      <c r="B39" s="105" t="s">
        <v>435</v>
      </c>
      <c r="C39" s="5" t="s">
        <v>1173</v>
      </c>
      <c r="D39" s="5" t="s">
        <v>34</v>
      </c>
      <c r="E39" s="17" t="s">
        <v>79</v>
      </c>
      <c r="F39" s="17" t="s">
        <v>1171</v>
      </c>
      <c r="G39" s="41">
        <v>4</v>
      </c>
      <c r="H39" s="99" t="s">
        <v>1175</v>
      </c>
      <c r="I39" s="37"/>
      <c r="J39" s="99" t="s">
        <v>257</v>
      </c>
      <c r="K39" s="99" t="s">
        <v>258</v>
      </c>
      <c r="L39" s="37"/>
      <c r="M39" s="37"/>
      <c r="N39" s="37"/>
      <c r="O39" s="37"/>
      <c r="P39" s="37"/>
      <c r="Q39" s="17"/>
      <c r="R39" s="17"/>
    </row>
    <row r="40" spans="1:18" x14ac:dyDescent="0.25">
      <c r="A40" s="11"/>
      <c r="B40" s="105" t="s">
        <v>437</v>
      </c>
      <c r="C40" s="5" t="s">
        <v>1173</v>
      </c>
      <c r="D40" s="5" t="s">
        <v>34</v>
      </c>
      <c r="E40" s="17" t="s">
        <v>79</v>
      </c>
      <c r="F40" s="17" t="s">
        <v>1171</v>
      </c>
      <c r="G40" s="41">
        <v>4</v>
      </c>
      <c r="H40" s="99" t="s">
        <v>1176</v>
      </c>
      <c r="I40" s="37"/>
      <c r="J40" s="99" t="s">
        <v>257</v>
      </c>
      <c r="K40" s="99" t="s">
        <v>258</v>
      </c>
      <c r="L40" s="37"/>
      <c r="M40" s="37"/>
      <c r="N40" s="37"/>
      <c r="O40" s="37"/>
      <c r="P40" s="37"/>
      <c r="Q40" s="17"/>
      <c r="R40" s="17"/>
    </row>
    <row r="41" spans="1:18" x14ac:dyDescent="0.25">
      <c r="A41" s="11"/>
      <c r="B41" s="105" t="s">
        <v>713</v>
      </c>
      <c r="C41" s="5" t="s">
        <v>1173</v>
      </c>
      <c r="D41" s="5" t="s">
        <v>34</v>
      </c>
      <c r="E41" s="17" t="s">
        <v>79</v>
      </c>
      <c r="F41" s="17" t="s">
        <v>1171</v>
      </c>
      <c r="G41" s="41">
        <v>4</v>
      </c>
      <c r="H41" s="99" t="s">
        <v>246</v>
      </c>
      <c r="I41" s="37"/>
      <c r="J41" s="99" t="s">
        <v>257</v>
      </c>
      <c r="K41" s="99" t="s">
        <v>258</v>
      </c>
      <c r="L41" s="37"/>
      <c r="M41" s="37"/>
      <c r="N41" s="37"/>
      <c r="O41" s="37"/>
      <c r="P41" s="37"/>
      <c r="Q41" s="17"/>
      <c r="R41" s="17"/>
    </row>
    <row r="42" spans="1:18" x14ac:dyDescent="0.25">
      <c r="A42" s="11"/>
      <c r="B42" s="105" t="s">
        <v>715</v>
      </c>
      <c r="C42" s="5" t="s">
        <v>1173</v>
      </c>
      <c r="D42" s="5" t="s">
        <v>34</v>
      </c>
      <c r="E42" s="17" t="s">
        <v>79</v>
      </c>
      <c r="F42" s="17" t="s">
        <v>1171</v>
      </c>
      <c r="G42" s="41">
        <v>4</v>
      </c>
      <c r="H42" s="99" t="s">
        <v>1177</v>
      </c>
      <c r="I42" s="37"/>
      <c r="J42" s="99" t="s">
        <v>257</v>
      </c>
      <c r="K42" s="99" t="s">
        <v>258</v>
      </c>
      <c r="L42" s="37"/>
      <c r="M42" s="37"/>
      <c r="N42" s="37"/>
      <c r="O42" s="37"/>
      <c r="P42" s="37"/>
      <c r="Q42" s="17"/>
      <c r="R42" s="17"/>
    </row>
    <row r="43" spans="1:18" x14ac:dyDescent="0.25">
      <c r="A43" s="11"/>
      <c r="B43" s="105" t="s">
        <v>717</v>
      </c>
      <c r="C43" s="5" t="s">
        <v>1173</v>
      </c>
      <c r="D43" s="5" t="s">
        <v>34</v>
      </c>
      <c r="E43" s="17" t="s">
        <v>79</v>
      </c>
      <c r="F43" s="17" t="s">
        <v>1171</v>
      </c>
      <c r="G43" s="41">
        <v>4</v>
      </c>
      <c r="H43" s="99" t="s">
        <v>1178</v>
      </c>
      <c r="I43" s="37"/>
      <c r="J43" s="99" t="s">
        <v>257</v>
      </c>
      <c r="K43" s="99" t="s">
        <v>258</v>
      </c>
      <c r="L43" s="37"/>
      <c r="M43" s="37"/>
      <c r="N43" s="37"/>
      <c r="O43" s="37"/>
      <c r="P43" s="37"/>
      <c r="Q43" s="17"/>
      <c r="R43" s="17"/>
    </row>
    <row r="44" spans="1:18" x14ac:dyDescent="0.25">
      <c r="A44" s="11"/>
      <c r="B44" s="105" t="s">
        <v>727</v>
      </c>
      <c r="C44" s="5" t="s">
        <v>1173</v>
      </c>
      <c r="D44" s="5" t="s">
        <v>34</v>
      </c>
      <c r="E44" s="17" t="s">
        <v>79</v>
      </c>
      <c r="F44" s="17" t="s">
        <v>1171</v>
      </c>
      <c r="G44" s="41">
        <v>4</v>
      </c>
      <c r="H44" s="99" t="s">
        <v>1179</v>
      </c>
      <c r="I44" s="37"/>
      <c r="J44" s="99" t="s">
        <v>257</v>
      </c>
      <c r="K44" s="99" t="s">
        <v>258</v>
      </c>
      <c r="L44" s="37"/>
      <c r="M44" s="37"/>
      <c r="N44" s="37"/>
      <c r="O44" s="37"/>
      <c r="P44" s="37"/>
      <c r="Q44" s="17"/>
      <c r="R44" s="17"/>
    </row>
    <row r="45" spans="1:18" x14ac:dyDescent="0.25">
      <c r="A45" s="11"/>
      <c r="B45" s="105"/>
      <c r="C45" s="5"/>
      <c r="D45" s="53"/>
      <c r="E45" s="17"/>
      <c r="F45" s="17"/>
      <c r="G45" s="37"/>
      <c r="H45" s="37"/>
      <c r="I45" s="37"/>
      <c r="J45" s="37"/>
      <c r="K45" s="37"/>
      <c r="L45" s="37"/>
      <c r="M45" s="37"/>
      <c r="N45" s="37"/>
      <c r="O45" s="37"/>
      <c r="P45" s="37"/>
      <c r="Q45" s="17"/>
      <c r="R45" s="17"/>
    </row>
    <row r="46" spans="1:18" s="12" customFormat="1" ht="21" x14ac:dyDescent="0.35">
      <c r="A46" s="13"/>
      <c r="B46" s="15"/>
      <c r="C46" s="15"/>
      <c r="D46" s="15"/>
      <c r="E46" s="14"/>
      <c r="F46" s="14"/>
      <c r="G46" s="38"/>
      <c r="H46" s="38"/>
      <c r="I46" s="38"/>
      <c r="J46" s="38"/>
      <c r="K46" s="38"/>
      <c r="L46" s="38"/>
      <c r="M46" s="38"/>
      <c r="N46" s="38"/>
      <c r="O46" s="38"/>
      <c r="P46" s="38"/>
      <c r="Q46" s="14"/>
      <c r="R46" s="14"/>
    </row>
    <row r="47" spans="1:18" x14ac:dyDescent="0.25">
      <c r="A47" s="11"/>
      <c r="B47" s="106"/>
      <c r="C47" s="5"/>
      <c r="D47" s="5"/>
      <c r="E47" s="17"/>
      <c r="F47" s="17"/>
      <c r="G47" s="41"/>
      <c r="H47" s="99"/>
      <c r="I47" s="99"/>
      <c r="J47" s="99"/>
      <c r="K47" s="99"/>
      <c r="L47" s="99"/>
      <c r="M47" s="99"/>
      <c r="N47" s="99"/>
      <c r="O47" s="99"/>
      <c r="P47" s="37"/>
      <c r="Q47" s="17"/>
      <c r="R47" s="17"/>
    </row>
    <row r="48" spans="1:18" x14ac:dyDescent="0.25">
      <c r="A48" s="11"/>
      <c r="B48" s="105"/>
      <c r="C48" s="5"/>
      <c r="D48" s="5"/>
      <c r="E48" s="17"/>
      <c r="F48" s="17"/>
      <c r="G48" s="37"/>
      <c r="H48" s="37"/>
      <c r="I48" s="37"/>
      <c r="J48" s="37"/>
      <c r="K48" s="37"/>
      <c r="L48" s="37"/>
      <c r="M48" s="37"/>
      <c r="N48" s="37"/>
      <c r="O48" s="37"/>
      <c r="P48" s="37"/>
      <c r="Q48" s="17"/>
      <c r="R48" s="17"/>
    </row>
    <row r="49" spans="1:18" x14ac:dyDescent="0.25">
      <c r="A49" s="11"/>
      <c r="B49" s="105"/>
      <c r="C49" s="5"/>
      <c r="D49" s="5"/>
      <c r="E49" s="17"/>
      <c r="F49" s="17"/>
      <c r="G49" s="37"/>
      <c r="H49" s="37"/>
      <c r="I49" s="37"/>
      <c r="J49" s="99"/>
      <c r="K49" s="37"/>
      <c r="L49" s="37"/>
      <c r="M49" s="37"/>
      <c r="N49" s="37"/>
      <c r="O49" s="37"/>
      <c r="P49" s="37"/>
      <c r="Q49" s="17"/>
      <c r="R49" s="17"/>
    </row>
    <row r="50" spans="1:18" x14ac:dyDescent="0.25">
      <c r="A50" s="11"/>
      <c r="B50" s="105"/>
      <c r="C50" s="5"/>
      <c r="D50" s="5"/>
      <c r="E50" s="17"/>
      <c r="F50" s="17"/>
      <c r="G50" s="37"/>
      <c r="H50" s="37"/>
      <c r="I50" s="37"/>
      <c r="J50" s="37"/>
      <c r="K50" s="37"/>
      <c r="L50" s="37"/>
      <c r="M50" s="37"/>
      <c r="N50" s="37"/>
      <c r="O50" s="37"/>
      <c r="P50" s="37"/>
      <c r="Q50" s="17"/>
      <c r="R50" s="17"/>
    </row>
    <row r="51" spans="1:18" x14ac:dyDescent="0.25">
      <c r="A51" s="11"/>
      <c r="B51" s="105"/>
      <c r="C51" s="5"/>
      <c r="D51" s="5"/>
      <c r="E51" s="17"/>
      <c r="F51" s="17"/>
      <c r="G51" s="37"/>
      <c r="H51" s="37"/>
      <c r="J51" s="37"/>
      <c r="K51" s="37"/>
      <c r="L51" s="37"/>
      <c r="M51" s="37"/>
      <c r="N51" s="37"/>
      <c r="O51" s="37"/>
      <c r="P51" s="37"/>
      <c r="Q51" s="17"/>
      <c r="R51" s="17"/>
    </row>
    <row r="52" spans="1:18" x14ac:dyDescent="0.25">
      <c r="A52" s="11"/>
      <c r="B52" s="105"/>
      <c r="C52" s="5"/>
      <c r="D52" s="5"/>
      <c r="E52" s="17"/>
      <c r="F52" s="17"/>
      <c r="G52" s="37"/>
      <c r="H52" s="99"/>
      <c r="I52" s="37"/>
      <c r="J52" s="99"/>
      <c r="K52" s="37"/>
      <c r="L52" s="37"/>
      <c r="M52" s="37"/>
      <c r="N52" s="37"/>
      <c r="O52" s="37"/>
      <c r="P52" s="37"/>
      <c r="Q52" s="17"/>
      <c r="R52" s="17"/>
    </row>
    <row r="53" spans="1:18" x14ac:dyDescent="0.25">
      <c r="A53" s="11"/>
      <c r="B53" s="105"/>
      <c r="C53" s="5"/>
      <c r="D53" s="5"/>
      <c r="E53" s="17"/>
      <c r="F53" s="17"/>
      <c r="G53" s="37"/>
      <c r="H53" s="37"/>
      <c r="I53" s="37"/>
      <c r="J53" s="37"/>
      <c r="K53" s="37"/>
      <c r="L53" s="37"/>
      <c r="M53" s="37"/>
      <c r="N53" s="37"/>
      <c r="O53" s="37"/>
      <c r="P53" s="37"/>
      <c r="Q53" s="17"/>
      <c r="R53" s="17"/>
    </row>
    <row r="54" spans="1:18" x14ac:dyDescent="0.25">
      <c r="A54" s="11"/>
      <c r="B54" s="105"/>
      <c r="C54" s="5"/>
      <c r="D54" s="5"/>
      <c r="E54" s="17"/>
      <c r="F54" s="17"/>
      <c r="G54" s="37"/>
      <c r="H54" s="37"/>
      <c r="I54" s="37"/>
      <c r="J54" s="37"/>
      <c r="K54" s="37"/>
      <c r="L54" s="37"/>
      <c r="M54" s="37"/>
      <c r="N54" s="37"/>
      <c r="O54" s="37"/>
      <c r="P54" s="37"/>
      <c r="Q54" s="17"/>
      <c r="R54" s="17"/>
    </row>
    <row r="55" spans="1:18" x14ac:dyDescent="0.25">
      <c r="A55" s="11"/>
      <c r="B55" s="105"/>
      <c r="C55" s="5"/>
      <c r="D55" s="5"/>
      <c r="E55" s="17"/>
      <c r="F55" s="17"/>
      <c r="G55" s="37"/>
      <c r="H55" s="37"/>
      <c r="I55" s="37"/>
      <c r="J55" s="37"/>
      <c r="K55" s="37"/>
      <c r="L55" s="37"/>
      <c r="M55" s="37"/>
      <c r="N55" s="37"/>
      <c r="O55" s="37"/>
      <c r="P55" s="37"/>
      <c r="Q55" s="17"/>
      <c r="R55" s="17"/>
    </row>
    <row r="56" spans="1:18" x14ac:dyDescent="0.25">
      <c r="A56" s="11"/>
      <c r="B56" s="105"/>
      <c r="C56" s="18"/>
      <c r="D56" s="5"/>
      <c r="E56" s="17"/>
      <c r="F56" s="17"/>
      <c r="G56" s="37"/>
      <c r="H56" s="37"/>
      <c r="I56" s="37"/>
      <c r="J56" s="37"/>
      <c r="K56" s="37"/>
      <c r="L56" s="37"/>
      <c r="M56" s="37"/>
      <c r="N56" s="37"/>
      <c r="O56" s="37"/>
      <c r="P56" s="37"/>
      <c r="Q56" s="17"/>
      <c r="R56" s="17"/>
    </row>
    <row r="57" spans="1:18" x14ac:dyDescent="0.25">
      <c r="A57" s="11"/>
      <c r="B57" s="105"/>
      <c r="C57" s="18"/>
      <c r="D57" s="5"/>
      <c r="E57" s="17"/>
      <c r="F57" s="17"/>
      <c r="G57" s="37"/>
      <c r="H57" s="37"/>
      <c r="I57" s="37"/>
      <c r="J57" s="37"/>
      <c r="K57" s="37"/>
      <c r="L57" s="37"/>
      <c r="M57" s="37"/>
      <c r="N57" s="37"/>
      <c r="O57" s="37"/>
      <c r="P57" s="37"/>
      <c r="Q57" s="17"/>
      <c r="R57" s="17"/>
    </row>
    <row r="58" spans="1:18" x14ac:dyDescent="0.25">
      <c r="A58" s="11"/>
      <c r="B58" s="105"/>
      <c r="C58" s="18"/>
      <c r="D58" s="5"/>
      <c r="E58" s="17"/>
      <c r="F58" s="17"/>
      <c r="G58" s="37"/>
      <c r="H58" s="37"/>
      <c r="I58" s="37"/>
      <c r="J58" s="37"/>
      <c r="K58" s="37"/>
      <c r="L58" s="37"/>
      <c r="M58" s="37"/>
      <c r="N58" s="37"/>
      <c r="O58" s="37"/>
      <c r="P58" s="37"/>
      <c r="Q58" s="17"/>
      <c r="R58" s="17"/>
    </row>
    <row r="59" spans="1:18" x14ac:dyDescent="0.25">
      <c r="A59" s="11"/>
      <c r="B59" s="105"/>
      <c r="C59" s="18"/>
      <c r="D59" s="5"/>
      <c r="E59" s="17"/>
      <c r="F59" s="17"/>
      <c r="G59" s="37"/>
      <c r="H59" s="37"/>
      <c r="I59" s="37"/>
      <c r="J59" s="37"/>
      <c r="K59" s="37"/>
      <c r="L59" s="37"/>
      <c r="M59" s="37"/>
      <c r="N59" s="37"/>
      <c r="O59" s="37"/>
      <c r="P59" s="37"/>
      <c r="Q59" s="17"/>
      <c r="R59" s="17"/>
    </row>
    <row r="60" spans="1:18" x14ac:dyDescent="0.25">
      <c r="A60" s="11"/>
      <c r="B60" s="105"/>
      <c r="C60" s="18"/>
      <c r="D60" s="5"/>
      <c r="E60" s="17"/>
      <c r="F60" s="17"/>
      <c r="G60" s="37"/>
      <c r="H60" s="37"/>
      <c r="I60" s="37"/>
      <c r="J60" s="37"/>
      <c r="K60" s="37"/>
      <c r="L60" s="37"/>
      <c r="M60" s="37"/>
      <c r="N60" s="37"/>
      <c r="O60" s="37"/>
      <c r="P60" s="37"/>
      <c r="Q60" s="17"/>
      <c r="R60" s="17"/>
    </row>
    <row r="61" spans="1:18" s="12" customFormat="1" x14ac:dyDescent="0.25">
      <c r="A61" s="11"/>
      <c r="B61" s="105"/>
      <c r="C61" s="18"/>
      <c r="D61" s="5"/>
      <c r="E61" s="17"/>
      <c r="F61" s="17"/>
      <c r="G61" s="37"/>
      <c r="H61" s="37"/>
      <c r="I61" s="37"/>
      <c r="J61" s="99"/>
      <c r="K61" s="37"/>
      <c r="L61" s="37"/>
      <c r="M61" s="37"/>
      <c r="N61" s="37"/>
      <c r="O61" s="37"/>
      <c r="P61" s="39"/>
      <c r="Q61" s="19"/>
      <c r="R61" s="19"/>
    </row>
    <row r="62" spans="1:18" s="12" customFormat="1" x14ac:dyDescent="0.25">
      <c r="A62" s="11"/>
      <c r="B62" s="105"/>
      <c r="C62" s="18"/>
      <c r="D62" s="5"/>
      <c r="E62" s="17"/>
      <c r="F62" s="17"/>
      <c r="G62" s="37"/>
      <c r="H62" s="37"/>
      <c r="I62" s="37"/>
      <c r="J62" s="37"/>
      <c r="K62" s="37"/>
      <c r="L62" s="37"/>
      <c r="M62" s="37"/>
      <c r="N62" s="37"/>
      <c r="O62" s="37"/>
      <c r="P62" s="39"/>
      <c r="Q62" s="19"/>
      <c r="R62" s="19"/>
    </row>
    <row r="63" spans="1:18" s="12" customFormat="1" x14ac:dyDescent="0.25">
      <c r="A63" s="11"/>
      <c r="B63" s="5"/>
      <c r="C63" s="18"/>
      <c r="D63" s="18"/>
      <c r="E63" s="55"/>
      <c r="F63" s="55"/>
      <c r="G63" s="56"/>
      <c r="H63" s="39"/>
      <c r="I63" s="39"/>
      <c r="J63" s="39"/>
      <c r="K63" s="39"/>
      <c r="L63" s="39"/>
      <c r="M63" s="39"/>
      <c r="N63" s="39"/>
      <c r="O63" s="39"/>
      <c r="P63" s="39"/>
      <c r="Q63" s="19"/>
      <c r="R63" s="19"/>
    </row>
    <row r="64" spans="1:18" x14ac:dyDescent="0.25">
      <c r="A64" s="11"/>
      <c r="B64" s="18"/>
      <c r="C64" s="18"/>
      <c r="D64" s="18"/>
      <c r="E64" s="19"/>
      <c r="F64" s="19"/>
      <c r="G64" s="39"/>
      <c r="H64" s="39"/>
      <c r="I64" s="39"/>
      <c r="J64" s="39"/>
      <c r="K64" s="39"/>
      <c r="L64" s="39"/>
      <c r="M64" s="39"/>
      <c r="N64" s="39"/>
      <c r="O64" s="39"/>
      <c r="P64" s="39"/>
      <c r="Q64" s="19"/>
      <c r="R64" s="19"/>
    </row>
    <row r="65" spans="1:22" s="20" customFormat="1" x14ac:dyDescent="0.25">
      <c r="A65" s="11"/>
      <c r="B65" s="18"/>
      <c r="C65" s="18"/>
      <c r="D65" s="18"/>
      <c r="E65" s="19"/>
      <c r="F65" s="19"/>
      <c r="G65" s="39"/>
      <c r="H65" s="39"/>
      <c r="I65" s="39"/>
      <c r="J65" s="39"/>
      <c r="K65" s="39"/>
      <c r="L65" s="39"/>
      <c r="M65" s="39"/>
      <c r="N65" s="39"/>
      <c r="O65" s="39"/>
      <c r="P65" s="39"/>
      <c r="Q65" s="19"/>
      <c r="R65" s="19"/>
      <c r="S65" s="12"/>
      <c r="T65" s="12"/>
      <c r="U65" s="12"/>
      <c r="V65" s="12"/>
    </row>
    <row r="66" spans="1:22" x14ac:dyDescent="0.25">
      <c r="A66" s="11"/>
      <c r="B66" s="5"/>
      <c r="C66" s="5"/>
      <c r="D66" s="5"/>
      <c r="E66" s="17"/>
      <c r="F66" s="17"/>
      <c r="G66" s="37"/>
      <c r="H66" s="37"/>
      <c r="I66" s="37"/>
      <c r="J66" s="37"/>
      <c r="K66" s="37"/>
      <c r="L66" s="37"/>
      <c r="M66" s="37"/>
      <c r="N66" s="37"/>
      <c r="O66" s="37"/>
      <c r="P66" s="37"/>
      <c r="Q66" s="17"/>
      <c r="R66" s="17"/>
    </row>
  </sheetData>
  <mergeCells count="2">
    <mergeCell ref="A1:D2"/>
    <mergeCell ref="Q1:R2"/>
  </mergeCells>
  <dataValidations count="4">
    <dataValidation type="list" allowBlank="1" showInputMessage="1" showErrorMessage="1" sqref="Q47:Q1048576 Q5:Q45">
      <formula1>units</formula1>
    </dataValidation>
    <dataValidation type="list" allowBlank="1" showInputMessage="1" showErrorMessage="1" sqref="E3:E4 E67:E1048576">
      <formula1>can</formula1>
    </dataValidation>
    <dataValidation type="list" allowBlank="1" showInputMessage="1" showErrorMessage="1" sqref="D5:D66">
      <formula1>signal</formula1>
    </dataValidation>
    <dataValidation type="list" allowBlank="1" showInputMessage="1" showErrorMessage="1" sqref="E5:E66">
      <formula1>CAN_P</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Prepare_Sensing">
          <controlPr defaultSize="0" autoLine="0" r:id="rId5">
            <anchor moveWithCells="1">
              <from>
                <xdr:col>0</xdr:col>
                <xdr:colOff>2105025</xdr:colOff>
                <xdr:row>69</xdr:row>
                <xdr:rowOff>161925</xdr:rowOff>
              </from>
              <to>
                <xdr:col>1</xdr:col>
                <xdr:colOff>1819275</xdr:colOff>
                <xdr:row>72</xdr:row>
                <xdr:rowOff>19050</xdr:rowOff>
              </to>
            </anchor>
          </controlPr>
        </control>
      </mc:Choice>
      <mc:Fallback>
        <control shapeId="11266" r:id="rId4" name="Prepare_Sensing"/>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prompt="Select sensing from RKE group.">
          <x14:formula1>
            <xm:f>'Sense Group'!#REF!</xm:f>
          </x14:formula1>
          <xm:sqref>B15</xm:sqref>
        </x14:dataValidation>
        <x14:dataValidation type="list" allowBlank="1" showInputMessage="1" showErrorMessage="1" prompt="Select sensing of FOB group.">
          <x14:formula1>
            <xm:f>'Sense Group'!$B$61:$B$107</xm:f>
          </x14:formula1>
          <xm:sqref>B55</xm:sqref>
        </x14:dataValidation>
        <x14:dataValidation type="list" allowBlank="1" showInputMessage="1" showErrorMessage="1" prompt="select sensing">
          <x14:formula1>
            <xm:f>'Sense Group'!#REF!</xm:f>
          </x14:formula1>
          <xm:sqref>B19</xm:sqref>
        </x14:dataValidation>
        <x14:dataValidation type="list" allowBlank="1" showInputMessage="1" showErrorMessage="1" prompt="Select Sensing from Door Lock Group.">
          <x14:formula1>
            <xm:f>'Sense Group'!$B$109:$B$193</xm:f>
          </x14:formula1>
          <xm:sqref>B13</xm:sqref>
        </x14:dataValidation>
        <x14:dataValidation type="list" allowBlank="1" showInputMessage="1" showErrorMessage="1">
          <x14:formula1>
            <xm:f>'Sense Group'!$B$5:$B$59</xm:f>
          </x14:formula1>
          <xm:sqref>B17 B59</xm:sqref>
        </x14:dataValidation>
        <x14:dataValidation type="list" allowBlank="1" showInputMessage="1" showErrorMessage="1" prompt="select sensing from Security group.">
          <x14:formula1>
            <xm:f>'Sense Group'!$B$195:$B$227</xm:f>
          </x14:formula1>
          <xm:sqref>B57</xm:sqref>
        </x14:dataValidation>
        <x14:dataValidation type="list" allowBlank="1" showInputMessage="1" showErrorMessage="1" prompt="door group">
          <x14:formula1>
            <xm:f>'Sense Group'!$B$109:$B$193</xm:f>
          </x14:formula1>
          <xm:sqref>B61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
  <sheetViews>
    <sheetView workbookViewId="0">
      <selection activeCell="A3" sqref="A3"/>
    </sheetView>
  </sheetViews>
  <sheetFormatPr defaultRowHeight="15" x14ac:dyDescent="0.25"/>
  <cols>
    <col min="1" max="1" width="24.140625" customWidth="1"/>
    <col min="2" max="2" width="17.7109375" customWidth="1"/>
    <col min="3" max="3" width="20.28515625" customWidth="1"/>
    <col min="4" max="4" width="27.28515625" customWidth="1"/>
  </cols>
  <sheetData>
    <row r="1" spans="1:3" ht="16.5" thickTop="1" thickBot="1" x14ac:dyDescent="0.3">
      <c r="A1" s="104" t="s">
        <v>262</v>
      </c>
      <c r="B1" s="104" t="s">
        <v>263</v>
      </c>
      <c r="C1" s="104" t="s">
        <v>264</v>
      </c>
    </row>
    <row r="2" spans="1:3" ht="15.75" thickTop="1" x14ac:dyDescent="0.25">
      <c r="A2" s="5" t="s">
        <v>265</v>
      </c>
      <c r="B2">
        <v>4</v>
      </c>
      <c r="C2" t="s">
        <v>266</v>
      </c>
    </row>
    <row r="3" spans="1:3" x14ac:dyDescent="0.25">
      <c r="A3" t="s">
        <v>1172</v>
      </c>
      <c r="B3">
        <v>2</v>
      </c>
      <c r="C3" t="s">
        <v>1170</v>
      </c>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H63"/>
  <sheetViews>
    <sheetView workbookViewId="0">
      <pane ySplit="5" topLeftCell="A6" activePane="bottomLeft" state="frozen"/>
      <selection pane="bottomLeft" activeCell="D1" sqref="D1"/>
    </sheetView>
  </sheetViews>
  <sheetFormatPr defaultRowHeight="15" x14ac:dyDescent="0.25"/>
  <cols>
    <col min="1" max="1" width="39.5703125" style="3" bestFit="1" customWidth="1"/>
    <col min="2" max="2" width="16.140625" customWidth="1"/>
    <col min="3" max="3" width="23" customWidth="1"/>
    <col min="4" max="4" width="18.5703125" customWidth="1"/>
    <col min="5" max="5" width="29.140625" customWidth="1"/>
    <col min="6" max="6" width="38.42578125" customWidth="1"/>
    <col min="7" max="7" width="25.42578125" customWidth="1"/>
    <col min="8" max="8" width="44.5703125" customWidth="1"/>
  </cols>
  <sheetData>
    <row r="1" spans="1:8" s="12" customFormat="1" ht="24.75" customHeight="1" x14ac:dyDescent="0.5">
      <c r="A1" s="115" t="s">
        <v>174</v>
      </c>
      <c r="B1" s="115"/>
      <c r="C1" s="115"/>
      <c r="D1" s="78">
        <f>Years</f>
        <v>2019</v>
      </c>
      <c r="E1" s="51" t="str">
        <f>make</f>
        <v>HYUNDAI</v>
      </c>
      <c r="F1" s="70" t="str">
        <f>model</f>
        <v>SANTAFE</v>
      </c>
      <c r="G1" s="45"/>
      <c r="H1" s="113"/>
    </row>
    <row r="2" spans="1:8" s="12" customFormat="1" ht="35.25" customHeight="1" x14ac:dyDescent="0.25">
      <c r="A2" s="116"/>
      <c r="B2" s="116"/>
      <c r="C2" s="116"/>
      <c r="D2" s="33" t="str">
        <f>tran</f>
        <v>Auto</v>
      </c>
      <c r="E2" s="30" t="str">
        <f>car</f>
        <v>Key</v>
      </c>
      <c r="F2" s="33"/>
      <c r="G2" s="33"/>
      <c r="H2" s="114"/>
    </row>
    <row r="3" spans="1:8" s="28" customFormat="1" ht="15.75" customHeight="1" x14ac:dyDescent="0.25">
      <c r="A3" s="117" t="s">
        <v>9</v>
      </c>
      <c r="B3" s="117" t="s">
        <v>77</v>
      </c>
      <c r="C3" s="117" t="s">
        <v>65</v>
      </c>
      <c r="D3" s="117" t="s">
        <v>84</v>
      </c>
      <c r="E3" s="120" t="s">
        <v>63</v>
      </c>
      <c r="F3" s="117" t="s">
        <v>66</v>
      </c>
      <c r="G3" s="117" t="s">
        <v>26</v>
      </c>
      <c r="H3" s="117" t="s">
        <v>5</v>
      </c>
    </row>
    <row r="4" spans="1:8" s="28" customFormat="1" ht="15.75" customHeight="1" x14ac:dyDescent="0.25">
      <c r="A4" s="118"/>
      <c r="B4" s="118"/>
      <c r="C4" s="118"/>
      <c r="D4" s="119"/>
      <c r="E4" s="121"/>
      <c r="F4" s="118"/>
      <c r="G4" s="118"/>
      <c r="H4" s="118"/>
    </row>
    <row r="5" spans="1:8" s="28" customFormat="1" ht="6" hidden="1" customHeight="1" x14ac:dyDescent="0.25">
      <c r="A5" s="119"/>
      <c r="B5" s="119"/>
      <c r="C5" s="119"/>
      <c r="D5" s="36"/>
      <c r="E5" s="121"/>
      <c r="F5" s="118"/>
      <c r="G5" s="119"/>
      <c r="H5" s="119"/>
    </row>
    <row r="6" spans="1:8" s="9" customFormat="1" ht="15" customHeight="1" x14ac:dyDescent="0.25">
      <c r="A6" s="5" t="s">
        <v>24</v>
      </c>
      <c r="B6" s="17" t="s">
        <v>78</v>
      </c>
      <c r="C6" s="17" t="s">
        <v>89</v>
      </c>
      <c r="D6" s="17" t="s">
        <v>86</v>
      </c>
      <c r="E6" s="17" t="s">
        <v>83</v>
      </c>
      <c r="F6" s="87" t="s">
        <v>90</v>
      </c>
      <c r="G6" s="57" t="s">
        <v>203</v>
      </c>
      <c r="H6" s="17"/>
    </row>
    <row r="7" spans="1:8" x14ac:dyDescent="0.25">
      <c r="A7" s="5" t="s">
        <v>25</v>
      </c>
      <c r="B7" s="17" t="s">
        <v>78</v>
      </c>
      <c r="C7" s="17" t="s">
        <v>91</v>
      </c>
      <c r="D7" s="17" t="s">
        <v>86</v>
      </c>
      <c r="E7" s="17" t="s">
        <v>83</v>
      </c>
      <c r="F7" s="87" t="s">
        <v>183</v>
      </c>
      <c r="G7" s="57" t="s">
        <v>203</v>
      </c>
      <c r="H7" s="17"/>
    </row>
    <row r="8" spans="1:8" x14ac:dyDescent="0.25">
      <c r="A8" s="5" t="s">
        <v>28</v>
      </c>
      <c r="B8" s="17" t="s">
        <v>78</v>
      </c>
      <c r="C8" s="17" t="s">
        <v>182</v>
      </c>
      <c r="D8" s="17" t="s">
        <v>86</v>
      </c>
      <c r="E8" s="17" t="s">
        <v>237</v>
      </c>
      <c r="F8" s="87" t="s">
        <v>184</v>
      </c>
      <c r="G8" s="57" t="s">
        <v>88</v>
      </c>
      <c r="H8" s="17"/>
    </row>
    <row r="9" spans="1:8" x14ac:dyDescent="0.25">
      <c r="A9" s="5" t="s">
        <v>29</v>
      </c>
      <c r="B9" s="17"/>
      <c r="C9" s="57"/>
      <c r="D9" s="57"/>
      <c r="E9" s="57"/>
      <c r="F9" s="57"/>
      <c r="G9" s="57"/>
      <c r="H9" s="17"/>
    </row>
    <row r="10" spans="1:8" x14ac:dyDescent="0.25">
      <c r="A10" s="5" t="s">
        <v>70</v>
      </c>
      <c r="B10" s="17" t="s">
        <v>78</v>
      </c>
      <c r="C10" s="87" t="s">
        <v>182</v>
      </c>
      <c r="D10" s="17" t="s">
        <v>86</v>
      </c>
      <c r="E10" s="87" t="s">
        <v>87</v>
      </c>
      <c r="F10" s="87" t="s">
        <v>210</v>
      </c>
      <c r="G10" s="57" t="s">
        <v>88</v>
      </c>
      <c r="H10" s="87"/>
    </row>
    <row r="11" spans="1:8" x14ac:dyDescent="0.25">
      <c r="A11" s="4" t="s">
        <v>71</v>
      </c>
      <c r="B11" s="17" t="s">
        <v>78</v>
      </c>
      <c r="C11" s="87" t="s">
        <v>182</v>
      </c>
      <c r="D11" s="17" t="s">
        <v>86</v>
      </c>
      <c r="E11" s="87" t="s">
        <v>87</v>
      </c>
      <c r="F11" s="87" t="s">
        <v>209</v>
      </c>
      <c r="G11" s="57" t="s">
        <v>88</v>
      </c>
      <c r="H11" s="21"/>
    </row>
    <row r="12" spans="1:8" x14ac:dyDescent="0.25">
      <c r="A12" s="4" t="s">
        <v>30</v>
      </c>
      <c r="B12" s="17" t="s">
        <v>78</v>
      </c>
      <c r="C12" s="87" t="s">
        <v>182</v>
      </c>
      <c r="D12" s="17" t="s">
        <v>86</v>
      </c>
      <c r="E12" s="87" t="s">
        <v>87</v>
      </c>
      <c r="F12" s="87" t="s">
        <v>209</v>
      </c>
      <c r="G12" s="57" t="s">
        <v>88</v>
      </c>
      <c r="H12" s="21" t="s">
        <v>189</v>
      </c>
    </row>
    <row r="13" spans="1:8" x14ac:dyDescent="0.25">
      <c r="A13" s="4"/>
      <c r="B13" s="17"/>
      <c r="C13" s="87"/>
      <c r="D13" s="17"/>
      <c r="E13" s="87"/>
      <c r="F13" s="87"/>
      <c r="G13" s="57"/>
      <c r="H13" s="89"/>
    </row>
    <row r="14" spans="1:8" x14ac:dyDescent="0.25">
      <c r="A14" s="5" t="s">
        <v>230</v>
      </c>
      <c r="B14" s="17" t="s">
        <v>78</v>
      </c>
      <c r="C14" s="87" t="s">
        <v>229</v>
      </c>
      <c r="D14" s="17" t="s">
        <v>86</v>
      </c>
      <c r="E14" s="87" t="s">
        <v>232</v>
      </c>
      <c r="F14" s="57" t="s">
        <v>233</v>
      </c>
      <c r="G14" s="57" t="s">
        <v>88</v>
      </c>
      <c r="H14" s="87"/>
    </row>
    <row r="15" spans="1:8" x14ac:dyDescent="0.25">
      <c r="A15" s="4" t="s">
        <v>231</v>
      </c>
      <c r="B15" s="17" t="s">
        <v>78</v>
      </c>
      <c r="C15" s="87" t="s">
        <v>229</v>
      </c>
      <c r="D15" s="17" t="s">
        <v>86</v>
      </c>
      <c r="E15" s="87" t="s">
        <v>232</v>
      </c>
      <c r="F15" s="57" t="s">
        <v>234</v>
      </c>
      <c r="G15" s="57" t="s">
        <v>88</v>
      </c>
      <c r="H15" s="89"/>
    </row>
    <row r="16" spans="1:8" x14ac:dyDescent="0.25">
      <c r="A16" s="4"/>
      <c r="B16" s="17"/>
      <c r="C16" s="87"/>
      <c r="D16" s="17"/>
      <c r="E16" s="87"/>
      <c r="F16" s="57"/>
      <c r="G16" s="57"/>
      <c r="H16" s="89"/>
    </row>
    <row r="17" spans="1:8" x14ac:dyDescent="0.25">
      <c r="A17" s="4"/>
      <c r="B17" s="17"/>
      <c r="C17" s="87"/>
      <c r="D17" s="17"/>
      <c r="E17" s="87"/>
      <c r="F17" s="57"/>
      <c r="G17" s="57"/>
      <c r="H17" s="89"/>
    </row>
    <row r="18" spans="1:8" x14ac:dyDescent="0.25">
      <c r="A18" s="4" t="s">
        <v>68</v>
      </c>
      <c r="B18" s="57"/>
      <c r="C18" s="57"/>
      <c r="D18" s="57"/>
      <c r="E18" s="57"/>
      <c r="F18" s="57"/>
      <c r="G18" s="57"/>
      <c r="H18" s="17"/>
    </row>
    <row r="19" spans="1:8" x14ac:dyDescent="0.25">
      <c r="A19" s="4" t="s">
        <v>69</v>
      </c>
      <c r="B19" s="93"/>
      <c r="C19" s="93"/>
      <c r="D19" s="93"/>
      <c r="E19" s="93"/>
      <c r="F19" s="57"/>
      <c r="G19" s="57"/>
      <c r="H19" s="17"/>
    </row>
    <row r="20" spans="1:8" x14ac:dyDescent="0.25">
      <c r="A20" s="4" t="s">
        <v>31</v>
      </c>
      <c r="B20" s="17" t="s">
        <v>78</v>
      </c>
      <c r="C20" s="17" t="s">
        <v>182</v>
      </c>
      <c r="D20" s="17" t="s">
        <v>86</v>
      </c>
      <c r="E20" s="87" t="s">
        <v>87</v>
      </c>
      <c r="F20" s="88" t="s">
        <v>204</v>
      </c>
      <c r="G20" s="57" t="s">
        <v>203</v>
      </c>
      <c r="H20" s="87"/>
    </row>
    <row r="21" spans="1:8" x14ac:dyDescent="0.25">
      <c r="A21" s="4" t="s">
        <v>23</v>
      </c>
      <c r="B21" s="17"/>
      <c r="C21" s="57"/>
      <c r="D21" s="57"/>
      <c r="E21" s="57"/>
      <c r="F21" s="57"/>
      <c r="G21" s="57"/>
      <c r="H21" s="26"/>
    </row>
    <row r="22" spans="1:8" x14ac:dyDescent="0.25">
      <c r="A22" s="4" t="s">
        <v>67</v>
      </c>
      <c r="B22" s="17"/>
      <c r="C22" s="57"/>
      <c r="D22" s="57"/>
      <c r="E22" s="57"/>
      <c r="F22" s="57"/>
      <c r="G22" s="57"/>
      <c r="H22" s="26"/>
    </row>
    <row r="23" spans="1:8" x14ac:dyDescent="0.25">
      <c r="A23" s="4" t="s">
        <v>173</v>
      </c>
      <c r="B23" s="17" t="s">
        <v>78</v>
      </c>
      <c r="C23" s="27" t="s">
        <v>181</v>
      </c>
      <c r="D23" s="17" t="s">
        <v>86</v>
      </c>
      <c r="E23" s="17" t="s">
        <v>87</v>
      </c>
      <c r="F23" s="88" t="s">
        <v>196</v>
      </c>
      <c r="G23" s="57" t="s">
        <v>88</v>
      </c>
      <c r="H23" s="17" t="s">
        <v>185</v>
      </c>
    </row>
    <row r="24" spans="1:8" s="80" customFormat="1" ht="15" customHeight="1" x14ac:dyDescent="0.25">
      <c r="A24" s="90" t="s">
        <v>199</v>
      </c>
      <c r="B24" s="91" t="s">
        <v>79</v>
      </c>
      <c r="C24" s="92" t="s">
        <v>198</v>
      </c>
      <c r="D24" s="93" t="s">
        <v>86</v>
      </c>
      <c r="E24" s="93" t="s">
        <v>186</v>
      </c>
      <c r="F24" s="57" t="s">
        <v>201</v>
      </c>
      <c r="G24" s="57" t="s">
        <v>203</v>
      </c>
      <c r="H24" s="63"/>
    </row>
    <row r="25" spans="1:8" s="80" customFormat="1" ht="15" customHeight="1" x14ac:dyDescent="0.25">
      <c r="A25" s="90" t="s">
        <v>200</v>
      </c>
      <c r="B25" s="91" t="s">
        <v>79</v>
      </c>
      <c r="C25" s="92" t="s">
        <v>198</v>
      </c>
      <c r="D25" s="93" t="s">
        <v>86</v>
      </c>
      <c r="E25" s="93" t="s">
        <v>186</v>
      </c>
      <c r="F25" s="57" t="s">
        <v>202</v>
      </c>
      <c r="G25" s="57" t="s">
        <v>203</v>
      </c>
      <c r="H25" s="63"/>
    </row>
    <row r="26" spans="1:8" x14ac:dyDescent="0.25">
      <c r="A26" s="4" t="s">
        <v>21</v>
      </c>
      <c r="B26" s="17"/>
      <c r="C26" s="57"/>
      <c r="D26" s="57"/>
      <c r="E26" s="57"/>
      <c r="F26" s="57"/>
      <c r="G26" s="57"/>
      <c r="H26" s="26"/>
    </row>
    <row r="27" spans="1:8" x14ac:dyDescent="0.25">
      <c r="A27" s="4" t="s">
        <v>12</v>
      </c>
      <c r="B27" s="17"/>
      <c r="C27" s="57"/>
      <c r="D27" s="57"/>
      <c r="E27" s="57"/>
      <c r="F27" s="57"/>
      <c r="G27" s="57"/>
      <c r="H27" s="26"/>
    </row>
    <row r="28" spans="1:8" x14ac:dyDescent="0.25">
      <c r="A28" s="4" t="s">
        <v>11</v>
      </c>
      <c r="B28" s="17"/>
      <c r="C28" s="57"/>
      <c r="D28" s="57"/>
      <c r="E28" s="57"/>
      <c r="F28" s="57"/>
      <c r="G28" s="57"/>
      <c r="H28" s="26"/>
    </row>
    <row r="29" spans="1:8" x14ac:dyDescent="0.25">
      <c r="A29" s="4" t="s">
        <v>13</v>
      </c>
      <c r="B29" s="17"/>
      <c r="C29" s="57"/>
      <c r="D29" s="57"/>
      <c r="E29" s="57"/>
      <c r="F29" s="57"/>
      <c r="G29" s="57"/>
      <c r="H29" s="26"/>
    </row>
    <row r="30" spans="1:8" x14ac:dyDescent="0.25">
      <c r="A30" s="4" t="s">
        <v>92</v>
      </c>
      <c r="C30" s="57"/>
      <c r="D30" s="57"/>
      <c r="F30" s="57"/>
      <c r="G30" s="57"/>
      <c r="H30" s="59"/>
    </row>
    <row r="31" spans="1:8" x14ac:dyDescent="0.25">
      <c r="A31" s="4" t="s">
        <v>93</v>
      </c>
      <c r="B31" s="91" t="s">
        <v>79</v>
      </c>
      <c r="C31" s="92" t="s">
        <v>198</v>
      </c>
      <c r="D31" s="93" t="s">
        <v>86</v>
      </c>
      <c r="E31" s="93" t="s">
        <v>188</v>
      </c>
      <c r="F31" s="57" t="s">
        <v>187</v>
      </c>
      <c r="G31" s="57" t="s">
        <v>205</v>
      </c>
      <c r="H31" s="59"/>
    </row>
    <row r="32" spans="1:8" x14ac:dyDescent="0.25">
      <c r="A32" s="4" t="s">
        <v>94</v>
      </c>
      <c r="B32" s="57"/>
      <c r="C32" s="58"/>
      <c r="D32" s="57"/>
      <c r="E32" s="57"/>
      <c r="F32" s="57"/>
      <c r="G32" s="57"/>
      <c r="H32" s="59"/>
    </row>
    <row r="33" spans="1:8" s="64" customFormat="1" x14ac:dyDescent="0.25">
      <c r="A33" s="60" t="s">
        <v>95</v>
      </c>
      <c r="B33" s="57"/>
      <c r="C33" s="61"/>
      <c r="D33" s="57"/>
      <c r="E33" s="57"/>
      <c r="F33" s="62"/>
      <c r="G33" s="57"/>
      <c r="H33" s="63"/>
    </row>
    <row r="34" spans="1:8" s="64" customFormat="1" x14ac:dyDescent="0.25">
      <c r="A34" s="60" t="s">
        <v>96</v>
      </c>
      <c r="B34" s="57"/>
      <c r="C34" s="61"/>
      <c r="D34" s="57"/>
      <c r="E34" s="57"/>
      <c r="F34" s="62"/>
      <c r="G34" s="57"/>
      <c r="H34" s="63"/>
    </row>
    <row r="35" spans="1:8" x14ac:dyDescent="0.25">
      <c r="A35" s="4" t="s">
        <v>175</v>
      </c>
      <c r="B35" s="57"/>
      <c r="C35" s="61"/>
      <c r="D35" s="57"/>
      <c r="E35" s="57"/>
      <c r="F35" s="62"/>
      <c r="G35" s="57"/>
      <c r="H35" s="63"/>
    </row>
    <row r="36" spans="1:8" s="80" customFormat="1" ht="15" customHeight="1" x14ac:dyDescent="0.25">
      <c r="A36" s="84" t="s">
        <v>176</v>
      </c>
      <c r="B36" s="57"/>
      <c r="C36" s="61"/>
      <c r="D36" s="57"/>
      <c r="E36" s="57"/>
      <c r="F36" s="62"/>
      <c r="G36" s="57"/>
      <c r="H36" s="63"/>
    </row>
    <row r="37" spans="1:8" s="80" customFormat="1" ht="15" customHeight="1" x14ac:dyDescent="0.25"/>
    <row r="38" spans="1:8" s="80" customFormat="1" ht="15" customHeight="1" x14ac:dyDescent="0.25"/>
    <row r="39" spans="1:8" ht="15" customHeight="1" x14ac:dyDescent="0.25">
      <c r="A39"/>
      <c r="E39" s="7"/>
    </row>
    <row r="40" spans="1:8" ht="15" customHeight="1" x14ac:dyDescent="0.25">
      <c r="A40"/>
      <c r="E40" s="7"/>
    </row>
    <row r="41" spans="1:8" x14ac:dyDescent="0.25">
      <c r="A41"/>
    </row>
    <row r="42" spans="1:8" x14ac:dyDescent="0.25">
      <c r="A42"/>
    </row>
    <row r="43" spans="1:8" x14ac:dyDescent="0.25">
      <c r="A43"/>
    </row>
    <row r="44" spans="1:8" x14ac:dyDescent="0.25">
      <c r="A44"/>
    </row>
    <row r="45" spans="1:8" x14ac:dyDescent="0.25">
      <c r="A45"/>
    </row>
    <row r="46" spans="1:8" x14ac:dyDescent="0.25">
      <c r="A46"/>
    </row>
    <row r="47" spans="1:8" x14ac:dyDescent="0.25">
      <c r="A47"/>
    </row>
    <row r="48" spans="1:8"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sheetData>
  <mergeCells count="10">
    <mergeCell ref="H1:H2"/>
    <mergeCell ref="A1:C2"/>
    <mergeCell ref="A3:A5"/>
    <mergeCell ref="B3:B5"/>
    <mergeCell ref="C3:C5"/>
    <mergeCell ref="H3:H5"/>
    <mergeCell ref="D3:D4"/>
    <mergeCell ref="E3:E5"/>
    <mergeCell ref="F3:F5"/>
    <mergeCell ref="G3:G5"/>
  </mergeCells>
  <dataValidations count="1">
    <dataValidation type="list" allowBlank="1" showInputMessage="1" showErrorMessage="1" sqref="B31:B36 B6:B29">
      <formula1>CAN_P</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36"/>
  <sheetViews>
    <sheetView topLeftCell="A10" workbookViewId="0">
      <selection activeCell="C12" sqref="C12:E12"/>
    </sheetView>
  </sheetViews>
  <sheetFormatPr defaultRowHeight="15" x14ac:dyDescent="0.25"/>
  <cols>
    <col min="1" max="1" width="39.5703125" bestFit="1" customWidth="1"/>
    <col min="2" max="2" width="16.140625" customWidth="1"/>
    <col min="3" max="3" width="23" customWidth="1"/>
    <col min="4" max="4" width="18.5703125" customWidth="1"/>
    <col min="5" max="5" width="29.140625" customWidth="1"/>
    <col min="6" max="6" width="38.42578125" customWidth="1"/>
    <col min="7" max="7" width="25.42578125" customWidth="1"/>
    <col min="8" max="8" width="21.140625" customWidth="1"/>
    <col min="9" max="9" width="25" customWidth="1"/>
    <col min="10" max="10" width="44.5703125" customWidth="1"/>
  </cols>
  <sheetData>
    <row r="1" spans="1:10" s="12" customFormat="1" ht="24.75" customHeight="1" x14ac:dyDescent="0.5">
      <c r="A1" s="115" t="s">
        <v>177</v>
      </c>
      <c r="B1" s="115"/>
      <c r="C1" s="115"/>
      <c r="D1" s="78">
        <f>Years</f>
        <v>2019</v>
      </c>
      <c r="E1" s="51" t="str">
        <f>make</f>
        <v>HYUNDAI</v>
      </c>
      <c r="F1" s="70" t="str">
        <f>model</f>
        <v>SANTAFE</v>
      </c>
      <c r="G1" s="47"/>
      <c r="H1" s="50"/>
      <c r="I1" s="47"/>
      <c r="J1" s="113"/>
    </row>
    <row r="2" spans="1:10" s="12" customFormat="1" ht="35.25" customHeight="1" x14ac:dyDescent="0.25">
      <c r="A2" s="116"/>
      <c r="B2" s="116"/>
      <c r="C2" s="116"/>
      <c r="D2" s="33" t="str">
        <f>tran</f>
        <v>Auto</v>
      </c>
      <c r="E2" s="30" t="str">
        <f>car</f>
        <v>Key</v>
      </c>
      <c r="F2" s="33"/>
      <c r="G2" s="33"/>
      <c r="H2" s="33"/>
      <c r="I2" s="33"/>
      <c r="J2" s="114"/>
    </row>
    <row r="3" spans="1:10" x14ac:dyDescent="0.25">
      <c r="A3" s="125" t="s">
        <v>144</v>
      </c>
      <c r="B3" s="125" t="s">
        <v>166</v>
      </c>
      <c r="C3" s="125" t="s">
        <v>143</v>
      </c>
      <c r="D3" s="125"/>
      <c r="E3" s="125"/>
    </row>
    <row r="4" spans="1:10" x14ac:dyDescent="0.25">
      <c r="A4" s="126"/>
      <c r="B4" s="126"/>
      <c r="C4" s="126"/>
      <c r="D4" s="126"/>
      <c r="E4" s="126"/>
    </row>
    <row r="5" spans="1:10" x14ac:dyDescent="0.25">
      <c r="A5" s="126"/>
      <c r="B5" s="126"/>
      <c r="C5" s="126"/>
      <c r="D5" s="126"/>
      <c r="E5" s="126"/>
    </row>
    <row r="6" spans="1:10" x14ac:dyDescent="0.25">
      <c r="A6" s="126"/>
      <c r="B6" s="126"/>
      <c r="C6" s="126"/>
      <c r="D6" s="126"/>
      <c r="E6" s="126"/>
    </row>
    <row r="7" spans="1:10" x14ac:dyDescent="0.25">
      <c r="A7" s="126"/>
      <c r="B7" s="127"/>
      <c r="C7" s="127"/>
      <c r="D7" s="127"/>
      <c r="E7" s="127"/>
    </row>
    <row r="8" spans="1:10" ht="90.6" customHeight="1" x14ac:dyDescent="0.25">
      <c r="A8" s="81" t="s">
        <v>145</v>
      </c>
      <c r="B8" s="82" t="s">
        <v>167</v>
      </c>
      <c r="C8" s="122" t="s">
        <v>206</v>
      </c>
      <c r="D8" s="123"/>
      <c r="E8" s="124"/>
    </row>
    <row r="9" spans="1:10" ht="123.6" customHeight="1" x14ac:dyDescent="0.25">
      <c r="A9" s="81" t="s">
        <v>195</v>
      </c>
      <c r="B9" s="82" t="s">
        <v>167</v>
      </c>
      <c r="C9" s="131" t="s">
        <v>207</v>
      </c>
      <c r="D9" s="132"/>
      <c r="E9" s="133"/>
    </row>
    <row r="10" spans="1:10" ht="92.45" customHeight="1" x14ac:dyDescent="0.25">
      <c r="A10" s="81" t="s">
        <v>146</v>
      </c>
      <c r="B10" s="82" t="s">
        <v>167</v>
      </c>
      <c r="C10" s="131" t="s">
        <v>208</v>
      </c>
      <c r="D10" s="132"/>
      <c r="E10" s="133"/>
    </row>
    <row r="11" spans="1:10" ht="65.45" customHeight="1" x14ac:dyDescent="0.25">
      <c r="A11" s="81" t="s">
        <v>190</v>
      </c>
      <c r="B11" s="83" t="s">
        <v>167</v>
      </c>
      <c r="C11" s="131" t="s">
        <v>235</v>
      </c>
      <c r="D11" s="132"/>
      <c r="E11" s="133"/>
    </row>
    <row r="12" spans="1:10" ht="64.900000000000006" customHeight="1" x14ac:dyDescent="0.25">
      <c r="A12" s="81" t="s">
        <v>191</v>
      </c>
      <c r="B12" s="83" t="s">
        <v>167</v>
      </c>
      <c r="C12" s="131" t="s">
        <v>236</v>
      </c>
      <c r="D12" s="132"/>
      <c r="E12" s="133"/>
    </row>
    <row r="13" spans="1:10" ht="131.44999999999999" customHeight="1" x14ac:dyDescent="0.25">
      <c r="A13" s="81" t="s">
        <v>192</v>
      </c>
      <c r="B13" s="82" t="s">
        <v>167</v>
      </c>
      <c r="C13" s="131" t="s">
        <v>211</v>
      </c>
      <c r="D13" s="132"/>
      <c r="E13" s="133"/>
    </row>
    <row r="14" spans="1:10" ht="105" customHeight="1" x14ac:dyDescent="0.25">
      <c r="A14" s="81" t="s">
        <v>193</v>
      </c>
      <c r="B14" s="82" t="s">
        <v>167</v>
      </c>
      <c r="C14" s="131" t="s">
        <v>212</v>
      </c>
      <c r="D14" s="132"/>
      <c r="E14" s="133"/>
    </row>
    <row r="15" spans="1:10" ht="94.15" customHeight="1" x14ac:dyDescent="0.25">
      <c r="A15" s="81" t="s">
        <v>172</v>
      </c>
      <c r="B15" s="82" t="s">
        <v>167</v>
      </c>
      <c r="C15" s="131" t="s">
        <v>213</v>
      </c>
      <c r="D15" s="132"/>
      <c r="E15" s="133"/>
    </row>
    <row r="16" spans="1:10" x14ac:dyDescent="0.25">
      <c r="A16" s="81" t="s">
        <v>149</v>
      </c>
      <c r="B16" s="82" t="s">
        <v>168</v>
      </c>
      <c r="C16" s="128"/>
      <c r="D16" s="129"/>
      <c r="E16" s="130"/>
    </row>
    <row r="17" spans="1:5" x14ac:dyDescent="0.25">
      <c r="A17" s="81" t="s">
        <v>150</v>
      </c>
      <c r="B17" s="82" t="s">
        <v>168</v>
      </c>
      <c r="C17" s="128"/>
      <c r="D17" s="129"/>
      <c r="E17" s="130"/>
    </row>
    <row r="18" spans="1:5" x14ac:dyDescent="0.25">
      <c r="A18" s="81" t="s">
        <v>151</v>
      </c>
      <c r="B18" s="82" t="s">
        <v>168</v>
      </c>
      <c r="C18" s="128"/>
      <c r="D18" s="129"/>
      <c r="E18" s="130"/>
    </row>
    <row r="19" spans="1:5" x14ac:dyDescent="0.25">
      <c r="A19" s="81" t="s">
        <v>152</v>
      </c>
      <c r="B19" s="82" t="s">
        <v>168</v>
      </c>
      <c r="C19" s="128"/>
      <c r="D19" s="129"/>
      <c r="E19" s="130"/>
    </row>
    <row r="20" spans="1:5" x14ac:dyDescent="0.25">
      <c r="A20" s="81" t="s">
        <v>153</v>
      </c>
      <c r="B20" s="82" t="s">
        <v>168</v>
      </c>
      <c r="C20" s="128"/>
      <c r="D20" s="129"/>
      <c r="E20" s="130"/>
    </row>
    <row r="21" spans="1:5" ht="100.15" customHeight="1" x14ac:dyDescent="0.25">
      <c r="A21" s="81" t="s">
        <v>154</v>
      </c>
      <c r="B21" s="82" t="s">
        <v>167</v>
      </c>
      <c r="C21" s="122" t="s">
        <v>206</v>
      </c>
      <c r="D21" s="123"/>
      <c r="E21" s="124"/>
    </row>
    <row r="22" spans="1:5" ht="119.45" customHeight="1" x14ac:dyDescent="0.25">
      <c r="A22" s="81" t="s">
        <v>155</v>
      </c>
      <c r="B22" s="82" t="s">
        <v>167</v>
      </c>
      <c r="C22" s="131" t="s">
        <v>208</v>
      </c>
      <c r="D22" s="132"/>
      <c r="E22" s="133"/>
    </row>
    <row r="23" spans="1:5" x14ac:dyDescent="0.25">
      <c r="A23" s="81" t="s">
        <v>148</v>
      </c>
      <c r="B23" s="82" t="s">
        <v>168</v>
      </c>
      <c r="C23" s="128"/>
      <c r="D23" s="129"/>
      <c r="E23" s="130"/>
    </row>
    <row r="24" spans="1:5" x14ac:dyDescent="0.25">
      <c r="A24" s="81" t="s">
        <v>147</v>
      </c>
      <c r="B24" s="82" t="s">
        <v>168</v>
      </c>
      <c r="C24" s="128"/>
      <c r="D24" s="129"/>
      <c r="E24" s="130"/>
    </row>
    <row r="25" spans="1:5" x14ac:dyDescent="0.25">
      <c r="A25" s="81" t="s">
        <v>156</v>
      </c>
      <c r="B25" s="82" t="s">
        <v>168</v>
      </c>
      <c r="C25" s="128"/>
      <c r="D25" s="129"/>
      <c r="E25" s="130"/>
    </row>
    <row r="26" spans="1:5" x14ac:dyDescent="0.25">
      <c r="A26" s="81" t="s">
        <v>157</v>
      </c>
      <c r="B26" s="82" t="s">
        <v>168</v>
      </c>
      <c r="C26" s="128"/>
      <c r="D26" s="129"/>
      <c r="E26" s="130"/>
    </row>
    <row r="27" spans="1:5" x14ac:dyDescent="0.25">
      <c r="A27" s="81" t="s">
        <v>158</v>
      </c>
      <c r="B27" s="82" t="s">
        <v>168</v>
      </c>
      <c r="C27" s="128"/>
      <c r="D27" s="129"/>
      <c r="E27" s="130"/>
    </row>
    <row r="28" spans="1:5" x14ac:dyDescent="0.25">
      <c r="A28" s="81" t="s">
        <v>159</v>
      </c>
      <c r="B28" s="82" t="s">
        <v>168</v>
      </c>
      <c r="C28" s="128"/>
      <c r="D28" s="129"/>
      <c r="E28" s="130"/>
    </row>
    <row r="29" spans="1:5" x14ac:dyDescent="0.25">
      <c r="A29" s="81" t="s">
        <v>160</v>
      </c>
      <c r="B29" s="82" t="s">
        <v>168</v>
      </c>
      <c r="C29" s="128"/>
      <c r="D29" s="129"/>
      <c r="E29" s="130"/>
    </row>
    <row r="30" spans="1:5" x14ac:dyDescent="0.25">
      <c r="A30" s="81" t="s">
        <v>161</v>
      </c>
      <c r="B30" s="82" t="s">
        <v>168</v>
      </c>
      <c r="C30" s="128"/>
      <c r="D30" s="129"/>
      <c r="E30" s="130"/>
    </row>
    <row r="31" spans="1:5" x14ac:dyDescent="0.25">
      <c r="A31" s="81" t="s">
        <v>162</v>
      </c>
      <c r="B31" s="82" t="s">
        <v>168</v>
      </c>
      <c r="C31" s="128"/>
      <c r="D31" s="129"/>
      <c r="E31" s="130"/>
    </row>
    <row r="32" spans="1:5" x14ac:dyDescent="0.25">
      <c r="A32" s="81" t="s">
        <v>163</v>
      </c>
      <c r="B32" s="82" t="s">
        <v>168</v>
      </c>
      <c r="C32" s="128"/>
      <c r="D32" s="129"/>
      <c r="E32" s="130"/>
    </row>
    <row r="33" spans="1:5" x14ac:dyDescent="0.25">
      <c r="A33" s="81" t="s">
        <v>164</v>
      </c>
      <c r="B33" s="82" t="s">
        <v>168</v>
      </c>
      <c r="C33" s="128"/>
      <c r="D33" s="129"/>
      <c r="E33" s="130"/>
    </row>
    <row r="34" spans="1:5" ht="23.45" customHeight="1" x14ac:dyDescent="0.25">
      <c r="A34" s="81" t="s">
        <v>165</v>
      </c>
      <c r="B34" s="82" t="s">
        <v>167</v>
      </c>
      <c r="C34" s="131" t="s">
        <v>194</v>
      </c>
      <c r="D34" s="132"/>
      <c r="E34" s="133"/>
    </row>
    <row r="35" spans="1:5" x14ac:dyDescent="0.25">
      <c r="A35" s="81" t="s">
        <v>175</v>
      </c>
      <c r="B35" s="82" t="s">
        <v>168</v>
      </c>
      <c r="C35" s="128"/>
      <c r="D35" s="129"/>
      <c r="E35" s="130"/>
    </row>
    <row r="36" spans="1:5" x14ac:dyDescent="0.25">
      <c r="A36" s="81" t="s">
        <v>176</v>
      </c>
      <c r="B36" s="82" t="s">
        <v>168</v>
      </c>
      <c r="C36" s="128"/>
      <c r="D36" s="129"/>
      <c r="E36" s="130"/>
    </row>
  </sheetData>
  <mergeCells count="34">
    <mergeCell ref="C36:E36"/>
    <mergeCell ref="C25:E25"/>
    <mergeCell ref="C26:E26"/>
    <mergeCell ref="C27:E27"/>
    <mergeCell ref="C28:E28"/>
    <mergeCell ref="C29:E29"/>
    <mergeCell ref="C30:E30"/>
    <mergeCell ref="C31:E31"/>
    <mergeCell ref="C32:E32"/>
    <mergeCell ref="C33:E33"/>
    <mergeCell ref="C34:E34"/>
    <mergeCell ref="C35:E35"/>
    <mergeCell ref="C24:E24"/>
    <mergeCell ref="C9:E9"/>
    <mergeCell ref="C10:E10"/>
    <mergeCell ref="C15:E15"/>
    <mergeCell ref="C16:E16"/>
    <mergeCell ref="C17:E17"/>
    <mergeCell ref="C18:E18"/>
    <mergeCell ref="C19:E19"/>
    <mergeCell ref="C20:E20"/>
    <mergeCell ref="C21:E21"/>
    <mergeCell ref="C22:E22"/>
    <mergeCell ref="C23:E23"/>
    <mergeCell ref="C11:E11"/>
    <mergeCell ref="C12:E12"/>
    <mergeCell ref="C13:E13"/>
    <mergeCell ref="C14:E14"/>
    <mergeCell ref="C8:E8"/>
    <mergeCell ref="A1:C2"/>
    <mergeCell ref="J1:J2"/>
    <mergeCell ref="A3:A7"/>
    <mergeCell ref="B3:B7"/>
    <mergeCell ref="C3:E7"/>
  </mergeCells>
  <dataValidations count="1">
    <dataValidation type="list" allowBlank="1" showInputMessage="1" showErrorMessage="1" sqref="B8:B36">
      <formula1>ACTIVE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I1048576"/>
  <sheetViews>
    <sheetView workbookViewId="0">
      <pane ySplit="3" topLeftCell="A4" activePane="bottomLeft" state="frozen"/>
      <selection pane="bottomLeft" activeCell="D6" sqref="D6"/>
    </sheetView>
  </sheetViews>
  <sheetFormatPr defaultRowHeight="15" x14ac:dyDescent="0.25"/>
  <cols>
    <col min="1" max="1" width="23.140625" customWidth="1"/>
    <col min="2" max="4" width="16.42578125" customWidth="1"/>
    <col min="5" max="5" width="26.42578125" customWidth="1"/>
    <col min="6" max="6" width="29.42578125" customWidth="1"/>
    <col min="7" max="7" width="21.140625" customWidth="1"/>
    <col min="8" max="8" width="22.42578125" customWidth="1"/>
    <col min="9" max="9" width="37.42578125" customWidth="1"/>
  </cols>
  <sheetData>
    <row r="1" spans="1:9" s="12" customFormat="1" ht="28.5" customHeight="1" x14ac:dyDescent="0.5">
      <c r="A1" s="3"/>
      <c r="B1" s="3"/>
      <c r="C1" s="3"/>
      <c r="D1" s="49">
        <f>Years</f>
        <v>2019</v>
      </c>
      <c r="E1" s="51" t="str">
        <f>make</f>
        <v>HYUNDAI</v>
      </c>
      <c r="F1" s="52" t="str">
        <f>model</f>
        <v>SANTAFE</v>
      </c>
      <c r="G1" s="50"/>
      <c r="H1" s="47"/>
      <c r="I1" s="34"/>
    </row>
    <row r="2" spans="1:9" s="12" customFormat="1" ht="26.25" customHeight="1" x14ac:dyDescent="0.5">
      <c r="A2" s="3"/>
      <c r="B2" s="3"/>
      <c r="C2" s="3"/>
      <c r="D2" s="49" t="str">
        <f>tran</f>
        <v>Auto</v>
      </c>
      <c r="E2" s="71" t="str">
        <f>car</f>
        <v>Key</v>
      </c>
      <c r="F2" s="67"/>
      <c r="G2" s="33"/>
      <c r="H2" s="33"/>
      <c r="I2" s="35"/>
    </row>
    <row r="3" spans="1:9" ht="19.899999999999999" customHeight="1" x14ac:dyDescent="0.25">
      <c r="A3" s="43" t="s">
        <v>9</v>
      </c>
      <c r="B3" s="43" t="s">
        <v>10</v>
      </c>
      <c r="C3" s="85" t="s">
        <v>178</v>
      </c>
      <c r="D3" s="43" t="s">
        <v>27</v>
      </c>
      <c r="E3" s="43" t="s">
        <v>20</v>
      </c>
      <c r="F3" s="43" t="s">
        <v>22</v>
      </c>
      <c r="G3" s="86" t="s">
        <v>14</v>
      </c>
      <c r="H3" s="86" t="s">
        <v>82</v>
      </c>
      <c r="I3" s="43" t="s">
        <v>5</v>
      </c>
    </row>
    <row r="4" spans="1:9" ht="15" customHeight="1" x14ac:dyDescent="0.25">
      <c r="A4" s="5" t="s">
        <v>17</v>
      </c>
      <c r="B4" s="65">
        <v>400</v>
      </c>
      <c r="C4" s="65" t="s">
        <v>97</v>
      </c>
      <c r="D4" s="17" t="s">
        <v>217</v>
      </c>
      <c r="E4" s="17" t="s">
        <v>214</v>
      </c>
      <c r="F4" s="17" t="s">
        <v>83</v>
      </c>
      <c r="G4" s="17" t="s">
        <v>83</v>
      </c>
      <c r="H4" s="17" t="s">
        <v>83</v>
      </c>
      <c r="I4" s="27" t="s">
        <v>219</v>
      </c>
    </row>
    <row r="5" spans="1:9" ht="15" customHeight="1" x14ac:dyDescent="0.25">
      <c r="A5" s="5" t="s">
        <v>18</v>
      </c>
      <c r="B5" s="27" t="s">
        <v>83</v>
      </c>
      <c r="C5" s="27" t="s">
        <v>83</v>
      </c>
      <c r="D5" s="27" t="s">
        <v>83</v>
      </c>
      <c r="E5" s="27" t="s">
        <v>83</v>
      </c>
      <c r="F5" s="27" t="s">
        <v>83</v>
      </c>
      <c r="G5" s="27" t="s">
        <v>83</v>
      </c>
      <c r="H5" s="27" t="s">
        <v>83</v>
      </c>
      <c r="I5" s="27"/>
    </row>
    <row r="6" spans="1:9" x14ac:dyDescent="0.25">
      <c r="A6" s="5" t="s">
        <v>15</v>
      </c>
      <c r="B6" s="65">
        <v>1500</v>
      </c>
      <c r="C6" s="65"/>
      <c r="D6" s="65" t="s">
        <v>218</v>
      </c>
      <c r="E6" s="17" t="s">
        <v>214</v>
      </c>
      <c r="F6" s="17" t="s">
        <v>83</v>
      </c>
      <c r="G6" s="17" t="s">
        <v>83</v>
      </c>
      <c r="H6" s="17" t="s">
        <v>83</v>
      </c>
      <c r="I6" s="27" t="s">
        <v>219</v>
      </c>
    </row>
    <row r="7" spans="1:9" x14ac:dyDescent="0.25">
      <c r="A7" s="5" t="s">
        <v>16</v>
      </c>
      <c r="B7" s="27" t="s">
        <v>83</v>
      </c>
      <c r="C7" s="27" t="s">
        <v>83</v>
      </c>
      <c r="D7" s="27" t="s">
        <v>83</v>
      </c>
      <c r="E7" s="27" t="s">
        <v>83</v>
      </c>
      <c r="F7" s="27" t="s">
        <v>83</v>
      </c>
      <c r="G7" s="27" t="s">
        <v>83</v>
      </c>
      <c r="H7" s="27" t="s">
        <v>83</v>
      </c>
      <c r="I7" s="27"/>
    </row>
    <row r="8" spans="1:9" x14ac:dyDescent="0.25">
      <c r="A8" s="5" t="s">
        <v>19</v>
      </c>
      <c r="B8" s="17" t="s">
        <v>225</v>
      </c>
      <c r="C8" s="65" t="s">
        <v>97</v>
      </c>
      <c r="D8" s="17" t="s">
        <v>216</v>
      </c>
      <c r="E8" s="17" t="s">
        <v>214</v>
      </c>
      <c r="F8" s="17" t="s">
        <v>83</v>
      </c>
      <c r="G8" s="17" t="s">
        <v>83</v>
      </c>
      <c r="H8" s="17" t="s">
        <v>83</v>
      </c>
      <c r="I8" s="27" t="s">
        <v>215</v>
      </c>
    </row>
    <row r="9" spans="1:9" x14ac:dyDescent="0.25">
      <c r="A9" s="66" t="s">
        <v>7</v>
      </c>
      <c r="B9" s="27" t="s">
        <v>83</v>
      </c>
      <c r="C9" s="27" t="s">
        <v>83</v>
      </c>
      <c r="D9" s="27" t="s">
        <v>83</v>
      </c>
      <c r="E9" s="27" t="s">
        <v>83</v>
      </c>
      <c r="F9" s="27" t="s">
        <v>83</v>
      </c>
      <c r="G9" s="27" t="s">
        <v>83</v>
      </c>
      <c r="H9" s="27" t="s">
        <v>83</v>
      </c>
      <c r="I9" s="27"/>
    </row>
    <row r="10" spans="1:9" x14ac:dyDescent="0.25">
      <c r="A10" s="66" t="s">
        <v>98</v>
      </c>
      <c r="B10" s="27" t="s">
        <v>83</v>
      </c>
      <c r="C10" s="65" t="s">
        <v>99</v>
      </c>
      <c r="D10" s="65" t="s">
        <v>220</v>
      </c>
      <c r="E10" s="17" t="s">
        <v>214</v>
      </c>
      <c r="F10" s="17" t="s">
        <v>83</v>
      </c>
      <c r="G10" s="17" t="s">
        <v>83</v>
      </c>
      <c r="H10" s="17" t="s">
        <v>83</v>
      </c>
      <c r="I10" s="27" t="s">
        <v>224</v>
      </c>
    </row>
    <row r="11" spans="1:9" x14ac:dyDescent="0.25">
      <c r="A11" s="66" t="s">
        <v>100</v>
      </c>
      <c r="B11" s="27" t="s">
        <v>83</v>
      </c>
      <c r="C11" s="65" t="s">
        <v>99</v>
      </c>
      <c r="D11" s="65" t="s">
        <v>221</v>
      </c>
      <c r="E11" s="17" t="s">
        <v>214</v>
      </c>
      <c r="F11" s="17" t="s">
        <v>83</v>
      </c>
      <c r="G11" s="17" t="s">
        <v>83</v>
      </c>
      <c r="H11" s="17" t="s">
        <v>83</v>
      </c>
      <c r="I11" s="27" t="s">
        <v>224</v>
      </c>
    </row>
    <row r="12" spans="1:9" x14ac:dyDescent="0.25">
      <c r="A12" s="66" t="s">
        <v>101</v>
      </c>
      <c r="B12" s="17" t="s">
        <v>226</v>
      </c>
      <c r="C12" s="65" t="s">
        <v>180</v>
      </c>
      <c r="D12" s="65" t="s">
        <v>217</v>
      </c>
      <c r="E12" s="17" t="s">
        <v>214</v>
      </c>
      <c r="F12" s="17" t="s">
        <v>83</v>
      </c>
      <c r="G12" s="17" t="s">
        <v>72</v>
      </c>
      <c r="H12" s="17" t="s">
        <v>83</v>
      </c>
      <c r="I12" s="27" t="s">
        <v>227</v>
      </c>
    </row>
    <row r="13" spans="1:9" x14ac:dyDescent="0.25">
      <c r="A13" s="66" t="s">
        <v>102</v>
      </c>
      <c r="B13" s="27" t="s">
        <v>83</v>
      </c>
      <c r="C13" s="65" t="s">
        <v>97</v>
      </c>
      <c r="D13" s="65" t="s">
        <v>222</v>
      </c>
      <c r="E13" s="17" t="s">
        <v>214</v>
      </c>
      <c r="F13" s="17" t="s">
        <v>83</v>
      </c>
      <c r="G13" s="17" t="s">
        <v>83</v>
      </c>
      <c r="H13" s="17" t="s">
        <v>83</v>
      </c>
      <c r="I13" s="27" t="s">
        <v>215</v>
      </c>
    </row>
    <row r="14" spans="1:9" x14ac:dyDescent="0.25">
      <c r="A14" s="94" t="s">
        <v>197</v>
      </c>
      <c r="B14" s="27" t="s">
        <v>83</v>
      </c>
      <c r="C14" s="27" t="s">
        <v>83</v>
      </c>
      <c r="D14" s="27" t="s">
        <v>223</v>
      </c>
      <c r="E14" s="17" t="s">
        <v>214</v>
      </c>
      <c r="F14" s="17" t="s">
        <v>83</v>
      </c>
      <c r="G14" s="17" t="s">
        <v>83</v>
      </c>
      <c r="H14" s="17" t="s">
        <v>83</v>
      </c>
      <c r="I14" s="27" t="s">
        <v>219</v>
      </c>
    </row>
    <row r="15" spans="1:9" x14ac:dyDescent="0.25">
      <c r="A15" s="8"/>
      <c r="B15" s="27"/>
      <c r="C15" s="27"/>
      <c r="D15" s="27"/>
      <c r="E15" s="17"/>
      <c r="F15" s="17"/>
      <c r="G15" s="57"/>
      <c r="H15" s="57"/>
      <c r="I15" s="27"/>
    </row>
    <row r="16" spans="1:9" x14ac:dyDescent="0.25">
      <c r="A16" s="8"/>
      <c r="B16" s="27"/>
      <c r="C16" s="27"/>
      <c r="D16" s="27"/>
      <c r="E16" s="17"/>
      <c r="F16" s="17"/>
      <c r="G16" s="57"/>
      <c r="H16" s="57"/>
      <c r="I16" s="27"/>
    </row>
    <row r="17" spans="1:9" x14ac:dyDescent="0.25">
      <c r="A17" s="5"/>
      <c r="B17" s="65"/>
      <c r="C17" s="65"/>
      <c r="D17" s="17"/>
      <c r="E17" s="17"/>
      <c r="F17" s="17"/>
      <c r="G17" s="17"/>
      <c r="H17" s="17"/>
      <c r="I17" s="27"/>
    </row>
    <row r="18" spans="1:9" x14ac:dyDescent="0.25">
      <c r="A18" s="5"/>
      <c r="B18" s="65"/>
      <c r="C18" s="65"/>
      <c r="D18" s="65"/>
      <c r="E18" s="17"/>
      <c r="F18" s="17"/>
      <c r="G18" s="17"/>
      <c r="H18" s="17"/>
      <c r="I18" s="27"/>
    </row>
    <row r="19" spans="1:9" x14ac:dyDescent="0.25">
      <c r="A19" s="5"/>
      <c r="B19" s="17"/>
      <c r="C19" s="65"/>
      <c r="D19" s="17"/>
      <c r="E19" s="17"/>
      <c r="F19" s="17"/>
      <c r="G19" s="17"/>
      <c r="H19" s="17"/>
      <c r="I19" s="27"/>
    </row>
    <row r="20" spans="1:9" x14ac:dyDescent="0.25">
      <c r="A20" s="8"/>
      <c r="B20" s="27"/>
      <c r="C20" s="27"/>
      <c r="D20" s="27"/>
      <c r="E20" s="17"/>
      <c r="F20" s="17"/>
      <c r="G20" s="57"/>
      <c r="H20" s="57"/>
      <c r="I20" s="27"/>
    </row>
    <row r="21" spans="1:9" x14ac:dyDescent="0.25">
      <c r="A21" s="8"/>
      <c r="B21" s="27"/>
      <c r="C21" s="27"/>
      <c r="D21" s="27"/>
      <c r="E21" s="17"/>
      <c r="F21" s="17"/>
      <c r="G21" s="57"/>
      <c r="H21" s="57"/>
      <c r="I21" s="27"/>
    </row>
    <row r="22" spans="1:9" x14ac:dyDescent="0.25">
      <c r="A22" s="8"/>
      <c r="B22" s="27"/>
      <c r="C22" s="27"/>
      <c r="D22" s="27"/>
      <c r="E22" s="17"/>
      <c r="F22" s="17"/>
      <c r="G22" s="57"/>
      <c r="H22" s="57"/>
      <c r="I22" s="27"/>
    </row>
    <row r="23" spans="1:9" x14ac:dyDescent="0.25">
      <c r="A23" s="8"/>
      <c r="B23" s="27"/>
      <c r="C23" s="27"/>
      <c r="D23" s="27"/>
      <c r="E23" s="17"/>
      <c r="F23" s="17"/>
      <c r="G23" s="57"/>
      <c r="H23" s="57"/>
      <c r="I23" s="27"/>
    </row>
    <row r="24" spans="1:9" x14ac:dyDescent="0.25">
      <c r="A24" s="8"/>
      <c r="B24" s="27"/>
      <c r="C24" s="27"/>
      <c r="D24" s="27"/>
      <c r="E24" s="17"/>
      <c r="F24" s="17"/>
      <c r="G24" s="57"/>
      <c r="H24" s="57"/>
      <c r="I24" s="27"/>
    </row>
    <row r="25" spans="1:9" x14ac:dyDescent="0.25">
      <c r="A25" s="8"/>
      <c r="B25" s="27"/>
      <c r="C25" s="27"/>
      <c r="D25" s="27"/>
      <c r="E25" s="17"/>
      <c r="F25" s="17"/>
      <c r="G25" s="57"/>
      <c r="H25" s="57"/>
      <c r="I25" s="27"/>
    </row>
    <row r="26" spans="1:9" x14ac:dyDescent="0.25">
      <c r="A26" s="8"/>
      <c r="B26" s="27"/>
      <c r="C26" s="27"/>
      <c r="D26" s="27"/>
      <c r="E26" s="17"/>
      <c r="F26" s="17"/>
      <c r="G26" s="57"/>
      <c r="H26" s="57"/>
      <c r="I26" s="27"/>
    </row>
    <row r="27" spans="1:9" x14ac:dyDescent="0.25">
      <c r="A27" s="8"/>
      <c r="B27" s="27"/>
      <c r="C27" s="27"/>
      <c r="D27" s="27"/>
      <c r="E27" s="17"/>
      <c r="F27" s="17"/>
      <c r="G27" s="57"/>
      <c r="H27" s="57"/>
      <c r="I27" s="27"/>
    </row>
    <row r="28" spans="1:9" x14ac:dyDescent="0.25">
      <c r="A28" s="8"/>
      <c r="B28" s="27"/>
      <c r="C28" s="27"/>
      <c r="D28" s="27"/>
      <c r="E28" s="17"/>
      <c r="F28" s="17"/>
      <c r="G28" s="57"/>
      <c r="H28" s="57"/>
      <c r="I28" s="27"/>
    </row>
    <row r="29" spans="1:9" x14ac:dyDescent="0.25">
      <c r="A29" s="8"/>
      <c r="B29" s="27"/>
      <c r="C29" s="27"/>
      <c r="D29" s="27"/>
      <c r="E29" s="17"/>
      <c r="F29" s="17"/>
      <c r="G29" s="57"/>
      <c r="H29" s="57"/>
      <c r="I29" s="27"/>
    </row>
    <row r="30" spans="1:9" x14ac:dyDescent="0.25">
      <c r="A30" s="8"/>
      <c r="B30" s="27"/>
      <c r="C30" s="27"/>
      <c r="D30" s="27"/>
      <c r="E30" s="17"/>
      <c r="F30" s="17"/>
      <c r="G30" s="57"/>
      <c r="H30" s="57"/>
      <c r="I30" s="27"/>
    </row>
    <row r="31" spans="1:9" x14ac:dyDescent="0.25">
      <c r="A31" s="8"/>
      <c r="B31" s="27"/>
      <c r="C31" s="27"/>
      <c r="D31" s="27"/>
      <c r="E31" s="17"/>
      <c r="F31" s="17"/>
      <c r="G31" s="57"/>
      <c r="H31" s="57"/>
      <c r="I31" s="27"/>
    </row>
    <row r="32" spans="1:9" x14ac:dyDescent="0.25">
      <c r="A32" s="8"/>
      <c r="B32" s="27"/>
      <c r="C32" s="27"/>
      <c r="D32" s="27"/>
      <c r="E32" s="17"/>
      <c r="F32" s="17"/>
      <c r="G32" s="57"/>
      <c r="H32" s="57"/>
      <c r="I32" s="27"/>
    </row>
    <row r="33" spans="1:9" x14ac:dyDescent="0.25">
      <c r="A33" s="8"/>
      <c r="B33" s="27"/>
      <c r="C33" s="27"/>
      <c r="D33" s="27"/>
      <c r="E33" s="17"/>
      <c r="F33" s="17"/>
      <c r="G33" s="57"/>
      <c r="H33" s="57"/>
      <c r="I33" s="27"/>
    </row>
    <row r="34" spans="1:9" x14ac:dyDescent="0.25">
      <c r="A34" s="8"/>
      <c r="B34" s="27"/>
      <c r="C34" s="27"/>
      <c r="D34" s="27"/>
      <c r="E34" s="17"/>
      <c r="F34" s="17"/>
      <c r="G34" s="57"/>
      <c r="H34" s="57"/>
      <c r="I34" s="27"/>
    </row>
    <row r="35" spans="1:9" x14ac:dyDescent="0.25">
      <c r="A35" s="8"/>
      <c r="B35" s="27"/>
      <c r="C35" s="27"/>
      <c r="D35" s="27"/>
      <c r="E35" s="17"/>
      <c r="F35" s="17"/>
      <c r="G35" s="57"/>
      <c r="H35" s="57"/>
      <c r="I35" s="27"/>
    </row>
    <row r="36" spans="1:9" x14ac:dyDescent="0.25">
      <c r="A36" s="8"/>
      <c r="B36" s="27"/>
      <c r="C36" s="27"/>
      <c r="D36" s="27"/>
      <c r="E36" s="17"/>
      <c r="F36" s="17"/>
      <c r="G36" s="57"/>
      <c r="H36" s="57"/>
      <c r="I36" s="27"/>
    </row>
    <row r="37" spans="1:9" x14ac:dyDescent="0.25">
      <c r="A37" s="8"/>
      <c r="B37" s="27"/>
      <c r="C37" s="27"/>
      <c r="D37" s="27"/>
      <c r="E37" s="17"/>
      <c r="F37" s="17"/>
      <c r="G37" s="57"/>
      <c r="H37" s="57"/>
      <c r="I37" s="27"/>
    </row>
    <row r="38" spans="1:9" x14ac:dyDescent="0.25">
      <c r="A38" s="8"/>
      <c r="B38" s="27"/>
      <c r="C38" s="27"/>
      <c r="D38" s="27"/>
      <c r="E38" s="17"/>
      <c r="F38" s="17"/>
      <c r="G38" s="57"/>
      <c r="H38" s="57"/>
      <c r="I38" s="27"/>
    </row>
    <row r="39" spans="1:9" x14ac:dyDescent="0.25">
      <c r="A39" s="8"/>
      <c r="B39" s="27"/>
      <c r="C39" s="27"/>
      <c r="D39" s="27"/>
      <c r="E39" s="17"/>
      <c r="F39" s="17"/>
      <c r="G39" s="57"/>
      <c r="H39" s="57"/>
      <c r="I39" s="27"/>
    </row>
    <row r="40" spans="1:9" x14ac:dyDescent="0.25">
      <c r="A40" s="8"/>
      <c r="B40" s="27"/>
      <c r="C40" s="27"/>
      <c r="D40" s="27"/>
      <c r="E40" s="17"/>
      <c r="F40" s="17"/>
      <c r="G40" s="57"/>
      <c r="H40" s="57"/>
      <c r="I40" s="27"/>
    </row>
    <row r="41" spans="1:9" x14ac:dyDescent="0.25">
      <c r="A41" s="8"/>
      <c r="B41" s="27"/>
      <c r="C41" s="27"/>
      <c r="D41" s="27"/>
      <c r="E41" s="17"/>
      <c r="F41" s="17"/>
      <c r="G41" s="57"/>
      <c r="H41" s="57"/>
      <c r="I41" s="27"/>
    </row>
    <row r="42" spans="1:9" x14ac:dyDescent="0.25">
      <c r="A42" s="8"/>
      <c r="B42" s="27"/>
      <c r="C42" s="27"/>
      <c r="D42" s="27"/>
      <c r="E42" s="17"/>
      <c r="F42" s="17"/>
      <c r="G42" s="57"/>
      <c r="H42" s="57"/>
      <c r="I42" s="27"/>
    </row>
    <row r="43" spans="1:9" x14ac:dyDescent="0.25">
      <c r="A43" s="8"/>
      <c r="B43" s="27"/>
      <c r="C43" s="27"/>
      <c r="D43" s="27"/>
      <c r="E43" s="17"/>
      <c r="F43" s="17"/>
      <c r="G43" s="57"/>
      <c r="H43" s="57"/>
      <c r="I43" s="27"/>
    </row>
    <row r="44" spans="1:9" x14ac:dyDescent="0.25">
      <c r="A44" s="8"/>
      <c r="B44" s="27"/>
      <c r="C44" s="27"/>
      <c r="D44" s="27"/>
      <c r="E44" s="17"/>
      <c r="F44" s="17"/>
      <c r="G44" s="57"/>
      <c r="H44" s="57"/>
      <c r="I44" s="27"/>
    </row>
    <row r="1048576" spans="7:7" x14ac:dyDescent="0.25">
      <c r="G1048576" s="57"/>
    </row>
  </sheetData>
  <dataValidations count="2">
    <dataValidation type="list" allowBlank="1" showInputMessage="1" showErrorMessage="1" sqref="E4:H4 E6:H6 E8:H8 G10:H14 E10:F16 E17:H19 E20:F1048576">
      <formula1>N_A</formula1>
    </dataValidation>
    <dataValidation type="list" allowBlank="1" showInputMessage="1" showErrorMessage="1" sqref="D7:H7 B13:B14 B9:B11 D9:H9 B5 D5:H5 B7 C4:C44">
      <formula1>Polarity</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4:D545"/>
  <sheetViews>
    <sheetView workbookViewId="0">
      <selection activeCell="B28" sqref="B28"/>
    </sheetView>
  </sheetViews>
  <sheetFormatPr defaultRowHeight="15" x14ac:dyDescent="0.25"/>
  <cols>
    <col min="1" max="1" width="36.7109375" customWidth="1"/>
    <col min="2" max="2" width="39.28515625" customWidth="1"/>
    <col min="3" max="3" width="26.140625" customWidth="1"/>
  </cols>
  <sheetData>
    <row r="4" spans="1:4" ht="21" x14ac:dyDescent="0.35">
      <c r="A4" s="13" t="s">
        <v>268</v>
      </c>
      <c r="B4" s="15"/>
      <c r="C4" s="15"/>
      <c r="D4" s="15" t="s">
        <v>1159</v>
      </c>
    </row>
    <row r="5" spans="1:4" x14ac:dyDescent="0.25">
      <c r="A5" s="11" t="s">
        <v>269</v>
      </c>
      <c r="B5" s="5" t="s">
        <v>270</v>
      </c>
      <c r="C5" s="53"/>
    </row>
    <row r="6" spans="1:4" x14ac:dyDescent="0.25">
      <c r="A6" s="11" t="s">
        <v>271</v>
      </c>
      <c r="B6" s="5" t="s">
        <v>272</v>
      </c>
      <c r="C6" s="53"/>
    </row>
    <row r="7" spans="1:4" x14ac:dyDescent="0.25">
      <c r="A7" s="11" t="s">
        <v>273</v>
      </c>
      <c r="B7" s="5" t="s">
        <v>274</v>
      </c>
      <c r="C7" s="53"/>
    </row>
    <row r="8" spans="1:4" x14ac:dyDescent="0.25">
      <c r="A8" s="11" t="s">
        <v>275</v>
      </c>
      <c r="B8" s="5" t="s">
        <v>276</v>
      </c>
      <c r="C8" s="53"/>
    </row>
    <row r="9" spans="1:4" x14ac:dyDescent="0.25">
      <c r="A9" s="11" t="s">
        <v>277</v>
      </c>
      <c r="B9" s="5" t="s">
        <v>278</v>
      </c>
      <c r="C9" s="53"/>
    </row>
    <row r="10" spans="1:4" x14ac:dyDescent="0.25">
      <c r="A10" s="11" t="s">
        <v>279</v>
      </c>
      <c r="B10" s="5" t="s">
        <v>280</v>
      </c>
      <c r="C10" s="53"/>
    </row>
    <row r="11" spans="1:4" x14ac:dyDescent="0.25">
      <c r="A11" s="11" t="s">
        <v>281</v>
      </c>
      <c r="B11" s="5" t="s">
        <v>282</v>
      </c>
      <c r="C11" s="53"/>
    </row>
    <row r="12" spans="1:4" x14ac:dyDescent="0.25">
      <c r="A12" s="11" t="s">
        <v>283</v>
      </c>
      <c r="B12" s="5" t="s">
        <v>284</v>
      </c>
      <c r="C12" s="53"/>
    </row>
    <row r="13" spans="1:4" x14ac:dyDescent="0.25">
      <c r="A13" s="11" t="s">
        <v>31</v>
      </c>
      <c r="B13" s="5" t="s">
        <v>285</v>
      </c>
      <c r="C13" s="53"/>
    </row>
    <row r="14" spans="1:4" x14ac:dyDescent="0.25">
      <c r="A14" s="11" t="s">
        <v>286</v>
      </c>
      <c r="B14" s="5" t="s">
        <v>287</v>
      </c>
      <c r="C14" s="53"/>
    </row>
    <row r="15" spans="1:4" x14ac:dyDescent="0.25">
      <c r="A15" s="11" t="s">
        <v>288</v>
      </c>
      <c r="B15" s="5" t="s">
        <v>289</v>
      </c>
      <c r="C15" s="53"/>
    </row>
    <row r="16" spans="1:4" x14ac:dyDescent="0.25">
      <c r="A16" s="11" t="s">
        <v>290</v>
      </c>
      <c r="B16" s="5" t="s">
        <v>291</v>
      </c>
      <c r="C16" s="53"/>
    </row>
    <row r="17" spans="1:3" x14ac:dyDescent="0.25">
      <c r="A17" s="11"/>
      <c r="B17" s="5"/>
      <c r="C17" s="53"/>
    </row>
    <row r="18" spans="1:3" x14ac:dyDescent="0.25">
      <c r="A18" s="11" t="s">
        <v>444</v>
      </c>
      <c r="B18" s="5" t="s">
        <v>445</v>
      </c>
      <c r="C18" s="53"/>
    </row>
    <row r="19" spans="1:3" x14ac:dyDescent="0.25">
      <c r="A19" s="11" t="s">
        <v>446</v>
      </c>
      <c r="B19" s="5" t="s">
        <v>447</v>
      </c>
      <c r="C19" s="53"/>
    </row>
    <row r="20" spans="1:3" x14ac:dyDescent="0.25">
      <c r="A20" s="11" t="s">
        <v>448</v>
      </c>
      <c r="B20" s="5" t="s">
        <v>449</v>
      </c>
      <c r="C20" s="53"/>
    </row>
    <row r="21" spans="1:3" x14ac:dyDescent="0.25">
      <c r="A21" s="11" t="s">
        <v>450</v>
      </c>
      <c r="B21" s="5" t="s">
        <v>451</v>
      </c>
      <c r="C21" s="53"/>
    </row>
    <row r="22" spans="1:3" x14ac:dyDescent="0.25">
      <c r="A22" s="11" t="s">
        <v>452</v>
      </c>
      <c r="B22" s="5" t="s">
        <v>453</v>
      </c>
      <c r="C22" s="53"/>
    </row>
    <row r="23" spans="1:3" x14ac:dyDescent="0.25">
      <c r="A23" s="11" t="s">
        <v>454</v>
      </c>
      <c r="B23" s="5" t="s">
        <v>455</v>
      </c>
      <c r="C23" s="53"/>
    </row>
    <row r="24" spans="1:3" x14ac:dyDescent="0.25">
      <c r="A24" s="11" t="s">
        <v>456</v>
      </c>
      <c r="B24" s="5" t="s">
        <v>457</v>
      </c>
      <c r="C24" s="53"/>
    </row>
    <row r="25" spans="1:3" x14ac:dyDescent="0.25">
      <c r="A25" s="11" t="s">
        <v>458</v>
      </c>
      <c r="B25" s="5" t="s">
        <v>459</v>
      </c>
      <c r="C25" s="53"/>
    </row>
    <row r="26" spans="1:3" x14ac:dyDescent="0.25">
      <c r="A26" s="11" t="s">
        <v>460</v>
      </c>
      <c r="B26" s="5" t="s">
        <v>461</v>
      </c>
      <c r="C26" s="53"/>
    </row>
    <row r="27" spans="1:3" x14ac:dyDescent="0.25">
      <c r="A27" s="11" t="s">
        <v>462</v>
      </c>
      <c r="B27" s="5" t="s">
        <v>463</v>
      </c>
      <c r="C27" s="53"/>
    </row>
    <row r="28" spans="1:3" x14ac:dyDescent="0.25">
      <c r="A28" s="11" t="s">
        <v>464</v>
      </c>
      <c r="B28" s="5" t="s">
        <v>465</v>
      </c>
      <c r="C28" s="53"/>
    </row>
    <row r="29" spans="1:3" x14ac:dyDescent="0.25">
      <c r="A29" s="11" t="s">
        <v>466</v>
      </c>
      <c r="B29" s="5" t="s">
        <v>467</v>
      </c>
      <c r="C29" s="53"/>
    </row>
    <row r="30" spans="1:3" x14ac:dyDescent="0.25">
      <c r="A30" s="11" t="s">
        <v>468</v>
      </c>
      <c r="B30" s="5" t="s">
        <v>469</v>
      </c>
      <c r="C30" s="53"/>
    </row>
    <row r="31" spans="1:3" x14ac:dyDescent="0.25">
      <c r="A31" s="11" t="s">
        <v>470</v>
      </c>
      <c r="B31" s="5" t="s">
        <v>471</v>
      </c>
      <c r="C31" s="53"/>
    </row>
    <row r="32" spans="1:3" x14ac:dyDescent="0.25">
      <c r="A32" s="11" t="s">
        <v>472</v>
      </c>
      <c r="B32" s="5" t="s">
        <v>473</v>
      </c>
      <c r="C32" s="53"/>
    </row>
    <row r="33" spans="1:3" x14ac:dyDescent="0.25">
      <c r="A33" s="11" t="s">
        <v>474</v>
      </c>
      <c r="B33" s="5" t="s">
        <v>475</v>
      </c>
      <c r="C33" s="53"/>
    </row>
    <row r="34" spans="1:3" x14ac:dyDescent="0.25">
      <c r="A34" s="11"/>
      <c r="B34" s="5"/>
      <c r="C34" s="53"/>
    </row>
    <row r="35" spans="1:3" x14ac:dyDescent="0.25">
      <c r="A35" s="11" t="s">
        <v>476</v>
      </c>
      <c r="B35" s="5" t="s">
        <v>477</v>
      </c>
      <c r="C35" s="53"/>
    </row>
    <row r="36" spans="1:3" x14ac:dyDescent="0.25">
      <c r="A36" s="11" t="s">
        <v>478</v>
      </c>
      <c r="B36" s="5" t="s">
        <v>479</v>
      </c>
      <c r="C36" s="53"/>
    </row>
    <row r="37" spans="1:3" x14ac:dyDescent="0.25">
      <c r="A37" s="11" t="s">
        <v>480</v>
      </c>
      <c r="B37" s="5" t="s">
        <v>481</v>
      </c>
      <c r="C37" s="53"/>
    </row>
    <row r="38" spans="1:3" x14ac:dyDescent="0.25">
      <c r="A38" s="11" t="s">
        <v>482</v>
      </c>
      <c r="B38" s="5" t="s">
        <v>483</v>
      </c>
      <c r="C38" s="53"/>
    </row>
    <row r="39" spans="1:3" x14ac:dyDescent="0.25">
      <c r="A39" s="11" t="s">
        <v>484</v>
      </c>
      <c r="B39" s="5" t="s">
        <v>485</v>
      </c>
      <c r="C39" s="53"/>
    </row>
    <row r="40" spans="1:3" x14ac:dyDescent="0.25">
      <c r="A40" s="11" t="s">
        <v>486</v>
      </c>
      <c r="B40" s="5" t="s">
        <v>487</v>
      </c>
      <c r="C40" s="53"/>
    </row>
    <row r="41" spans="1:3" x14ac:dyDescent="0.25">
      <c r="A41" s="11"/>
      <c r="B41" s="5"/>
      <c r="C41" s="53"/>
    </row>
    <row r="42" spans="1:3" x14ac:dyDescent="0.25">
      <c r="A42" s="11" t="s">
        <v>488</v>
      </c>
      <c r="B42" s="5" t="s">
        <v>489</v>
      </c>
      <c r="C42" s="53"/>
    </row>
    <row r="43" spans="1:3" x14ac:dyDescent="0.25">
      <c r="A43" s="11" t="s">
        <v>490</v>
      </c>
      <c r="B43" s="5" t="s">
        <v>491</v>
      </c>
      <c r="C43" s="53"/>
    </row>
    <row r="44" spans="1:3" x14ac:dyDescent="0.25">
      <c r="A44" s="11" t="s">
        <v>492</v>
      </c>
      <c r="B44" s="5" t="s">
        <v>493</v>
      </c>
      <c r="C44" s="53"/>
    </row>
    <row r="45" spans="1:3" x14ac:dyDescent="0.25">
      <c r="A45" s="11" t="s">
        <v>494</v>
      </c>
      <c r="B45" s="5" t="s">
        <v>495</v>
      </c>
      <c r="C45" s="53"/>
    </row>
    <row r="46" spans="1:3" x14ac:dyDescent="0.25">
      <c r="A46" s="11" t="s">
        <v>496</v>
      </c>
      <c r="B46" s="5" t="s">
        <v>497</v>
      </c>
      <c r="C46" s="53"/>
    </row>
    <row r="47" spans="1:3" x14ac:dyDescent="0.25">
      <c r="A47" s="11" t="s">
        <v>498</v>
      </c>
      <c r="B47" s="5" t="s">
        <v>499</v>
      </c>
      <c r="C47" s="53"/>
    </row>
    <row r="48" spans="1:3" x14ac:dyDescent="0.25">
      <c r="A48" s="11" t="s">
        <v>500</v>
      </c>
      <c r="B48" s="5" t="s">
        <v>501</v>
      </c>
      <c r="C48" s="53"/>
    </row>
    <row r="49" spans="1:4" x14ac:dyDescent="0.25">
      <c r="A49" s="11" t="s">
        <v>502</v>
      </c>
      <c r="B49" s="5" t="s">
        <v>503</v>
      </c>
      <c r="C49" s="53"/>
    </row>
    <row r="50" spans="1:4" x14ac:dyDescent="0.25">
      <c r="A50" s="11" t="s">
        <v>504</v>
      </c>
      <c r="B50" s="5" t="s">
        <v>505</v>
      </c>
      <c r="C50" s="53"/>
    </row>
    <row r="51" spans="1:4" x14ac:dyDescent="0.25">
      <c r="A51" s="11" t="s">
        <v>506</v>
      </c>
      <c r="B51" s="5" t="s">
        <v>507</v>
      </c>
      <c r="C51" s="53"/>
    </row>
    <row r="52" spans="1:4" x14ac:dyDescent="0.25">
      <c r="A52" s="11"/>
      <c r="B52" s="5"/>
      <c r="C52" s="53"/>
    </row>
    <row r="53" spans="1:4" x14ac:dyDescent="0.25">
      <c r="A53" s="11" t="s">
        <v>508</v>
      </c>
      <c r="B53" s="5" t="s">
        <v>509</v>
      </c>
      <c r="C53" s="53"/>
    </row>
    <row r="54" spans="1:4" x14ac:dyDescent="0.25">
      <c r="A54" s="11" t="s">
        <v>510</v>
      </c>
      <c r="B54" s="5" t="s">
        <v>511</v>
      </c>
      <c r="C54" s="53"/>
    </row>
    <row r="55" spans="1:4" x14ac:dyDescent="0.25">
      <c r="A55" s="11" t="s">
        <v>512</v>
      </c>
      <c r="B55" s="5" t="s">
        <v>513</v>
      </c>
      <c r="C55" s="53"/>
    </row>
    <row r="56" spans="1:4" x14ac:dyDescent="0.25">
      <c r="A56" s="11"/>
      <c r="B56" s="5"/>
      <c r="C56" s="53"/>
    </row>
    <row r="57" spans="1:4" x14ac:dyDescent="0.25">
      <c r="A57" s="11"/>
      <c r="B57" s="5"/>
      <c r="C57" s="53"/>
    </row>
    <row r="58" spans="1:4" x14ac:dyDescent="0.25">
      <c r="A58" s="11"/>
      <c r="B58" s="5"/>
      <c r="C58" s="53"/>
    </row>
    <row r="59" spans="1:4" x14ac:dyDescent="0.25">
      <c r="A59" s="11"/>
      <c r="B59" s="5"/>
      <c r="C59" s="53"/>
    </row>
    <row r="60" spans="1:4" ht="21" x14ac:dyDescent="0.35">
      <c r="A60" s="13" t="s">
        <v>292</v>
      </c>
      <c r="B60" s="15"/>
      <c r="C60" s="15"/>
      <c r="D60" s="15" t="s">
        <v>1160</v>
      </c>
    </row>
    <row r="61" spans="1:4" x14ac:dyDescent="0.25">
      <c r="A61" s="11" t="s">
        <v>293</v>
      </c>
      <c r="B61" s="5" t="s">
        <v>294</v>
      </c>
      <c r="C61" s="5"/>
    </row>
    <row r="62" spans="1:4" x14ac:dyDescent="0.25">
      <c r="A62" s="11" t="s">
        <v>295</v>
      </c>
      <c r="B62" s="5" t="s">
        <v>296</v>
      </c>
      <c r="C62" s="53"/>
    </row>
    <row r="63" spans="1:4" x14ac:dyDescent="0.25">
      <c r="A63" s="11" t="s">
        <v>297</v>
      </c>
      <c r="B63" s="5" t="s">
        <v>298</v>
      </c>
      <c r="C63" s="53"/>
    </row>
    <row r="64" spans="1:4" x14ac:dyDescent="0.25">
      <c r="A64" s="11" t="s">
        <v>299</v>
      </c>
      <c r="B64" s="5" t="s">
        <v>300</v>
      </c>
      <c r="C64" s="53"/>
    </row>
    <row r="65" spans="1:3" x14ac:dyDescent="0.25">
      <c r="A65" s="11" t="s">
        <v>301</v>
      </c>
      <c r="B65" s="5" t="s">
        <v>302</v>
      </c>
      <c r="C65" s="53"/>
    </row>
    <row r="66" spans="1:3" x14ac:dyDescent="0.25">
      <c r="A66" s="11" t="s">
        <v>303</v>
      </c>
      <c r="B66" s="5" t="s">
        <v>304</v>
      </c>
      <c r="C66" s="53"/>
    </row>
    <row r="67" spans="1:3" x14ac:dyDescent="0.25">
      <c r="A67" s="11" t="s">
        <v>305</v>
      </c>
      <c r="B67" s="5" t="s">
        <v>306</v>
      </c>
      <c r="C67" s="53"/>
    </row>
    <row r="68" spans="1:3" x14ac:dyDescent="0.25">
      <c r="A68" s="11" t="s">
        <v>307</v>
      </c>
      <c r="B68" s="5" t="s">
        <v>308</v>
      </c>
      <c r="C68" s="53"/>
    </row>
    <row r="69" spans="1:3" x14ac:dyDescent="0.25">
      <c r="A69" s="11" t="s">
        <v>309</v>
      </c>
      <c r="B69" s="5" t="s">
        <v>310</v>
      </c>
      <c r="C69" s="53"/>
    </row>
    <row r="70" spans="1:3" x14ac:dyDescent="0.25">
      <c r="A70" s="11" t="s">
        <v>311</v>
      </c>
      <c r="B70" s="18" t="s">
        <v>312</v>
      </c>
      <c r="C70" s="54"/>
    </row>
    <row r="71" spans="1:3" x14ac:dyDescent="0.25">
      <c r="A71" s="11" t="s">
        <v>313</v>
      </c>
      <c r="B71" s="18" t="s">
        <v>314</v>
      </c>
      <c r="C71" s="18"/>
    </row>
    <row r="72" spans="1:3" x14ac:dyDescent="0.25">
      <c r="A72" s="11" t="s">
        <v>315</v>
      </c>
      <c r="B72" s="18" t="s">
        <v>316</v>
      </c>
      <c r="C72" s="18"/>
    </row>
    <row r="73" spans="1:3" x14ac:dyDescent="0.25">
      <c r="A73" s="11" t="s">
        <v>317</v>
      </c>
      <c r="B73" s="18" t="s">
        <v>318</v>
      </c>
      <c r="C73" s="18"/>
    </row>
    <row r="74" spans="1:3" x14ac:dyDescent="0.25">
      <c r="A74" s="11" t="s">
        <v>319</v>
      </c>
      <c r="B74" s="18" t="s">
        <v>320</v>
      </c>
      <c r="C74" s="18"/>
    </row>
    <row r="75" spans="1:3" x14ac:dyDescent="0.25">
      <c r="A75" s="11" t="s">
        <v>321</v>
      </c>
      <c r="B75" s="18" t="s">
        <v>322</v>
      </c>
      <c r="C75" s="18"/>
    </row>
    <row r="76" spans="1:3" x14ac:dyDescent="0.25">
      <c r="A76" s="11" t="s">
        <v>323</v>
      </c>
      <c r="B76" s="18" t="s">
        <v>324</v>
      </c>
      <c r="C76" s="54"/>
    </row>
    <row r="77" spans="1:3" x14ac:dyDescent="0.25">
      <c r="A77" s="11" t="s">
        <v>325</v>
      </c>
      <c r="B77" s="18" t="s">
        <v>326</v>
      </c>
      <c r="C77" s="18"/>
    </row>
    <row r="78" spans="1:3" x14ac:dyDescent="0.25">
      <c r="A78" s="11" t="s">
        <v>327</v>
      </c>
      <c r="B78" s="18" t="s">
        <v>328</v>
      </c>
      <c r="C78" s="18"/>
    </row>
    <row r="79" spans="1:3" x14ac:dyDescent="0.25">
      <c r="A79" s="11" t="s">
        <v>329</v>
      </c>
      <c r="B79" s="18" t="s">
        <v>330</v>
      </c>
      <c r="C79" s="18"/>
    </row>
    <row r="80" spans="1:3" x14ac:dyDescent="0.25">
      <c r="A80" s="11"/>
      <c r="B80" s="18"/>
      <c r="C80" s="18"/>
    </row>
    <row r="81" spans="1:3" x14ac:dyDescent="0.25">
      <c r="A81" s="11" t="s">
        <v>626</v>
      </c>
      <c r="B81" s="5" t="s">
        <v>627</v>
      </c>
      <c r="C81" s="5" t="s">
        <v>35</v>
      </c>
    </row>
    <row r="82" spans="1:3" x14ac:dyDescent="0.25">
      <c r="A82" s="11" t="s">
        <v>628</v>
      </c>
      <c r="B82" s="5" t="s">
        <v>629</v>
      </c>
      <c r="C82" s="5" t="s">
        <v>35</v>
      </c>
    </row>
    <row r="83" spans="1:3" x14ac:dyDescent="0.25">
      <c r="A83" s="11" t="s">
        <v>630</v>
      </c>
      <c r="B83" s="5" t="s">
        <v>631</v>
      </c>
      <c r="C83" s="5"/>
    </row>
    <row r="84" spans="1:3" x14ac:dyDescent="0.25">
      <c r="A84" s="11" t="s">
        <v>632</v>
      </c>
      <c r="B84" s="5" t="s">
        <v>633</v>
      </c>
      <c r="C84" s="5" t="s">
        <v>35</v>
      </c>
    </row>
    <row r="85" spans="1:3" x14ac:dyDescent="0.25">
      <c r="A85" s="11" t="s">
        <v>634</v>
      </c>
      <c r="B85" s="5" t="s">
        <v>635</v>
      </c>
      <c r="C85" s="5"/>
    </row>
    <row r="86" spans="1:3" x14ac:dyDescent="0.25">
      <c r="A86" s="11" t="s">
        <v>636</v>
      </c>
      <c r="B86" s="5" t="s">
        <v>637</v>
      </c>
      <c r="C86" s="5"/>
    </row>
    <row r="87" spans="1:3" x14ac:dyDescent="0.25">
      <c r="A87" s="11" t="s">
        <v>638</v>
      </c>
      <c r="B87" s="5" t="s">
        <v>639</v>
      </c>
      <c r="C87" s="5" t="s">
        <v>35</v>
      </c>
    </row>
    <row r="88" spans="1:3" x14ac:dyDescent="0.25">
      <c r="A88" s="11" t="s">
        <v>640</v>
      </c>
      <c r="B88" s="5" t="s">
        <v>641</v>
      </c>
      <c r="C88" s="5" t="s">
        <v>35</v>
      </c>
    </row>
    <row r="89" spans="1:3" x14ac:dyDescent="0.25">
      <c r="A89" s="11" t="s">
        <v>642</v>
      </c>
      <c r="B89" s="18" t="s">
        <v>643</v>
      </c>
      <c r="C89" s="18" t="s">
        <v>35</v>
      </c>
    </row>
    <row r="90" spans="1:3" x14ac:dyDescent="0.25">
      <c r="A90" s="11" t="s">
        <v>644</v>
      </c>
      <c r="B90" s="18" t="s">
        <v>645</v>
      </c>
      <c r="C90" s="18"/>
    </row>
    <row r="91" spans="1:3" x14ac:dyDescent="0.25">
      <c r="A91" s="11" t="s">
        <v>646</v>
      </c>
      <c r="B91" s="18" t="s">
        <v>647</v>
      </c>
      <c r="C91" s="18"/>
    </row>
    <row r="92" spans="1:3" x14ac:dyDescent="0.25">
      <c r="A92" s="11" t="s">
        <v>648</v>
      </c>
      <c r="B92" s="18" t="s">
        <v>649</v>
      </c>
      <c r="C92" s="18"/>
    </row>
    <row r="93" spans="1:3" x14ac:dyDescent="0.25">
      <c r="A93" s="11" t="s">
        <v>650</v>
      </c>
      <c r="B93" s="18" t="s">
        <v>651</v>
      </c>
      <c r="C93" s="18"/>
    </row>
    <row r="94" spans="1:3" x14ac:dyDescent="0.25">
      <c r="A94" s="11" t="s">
        <v>652</v>
      </c>
      <c r="B94" s="18" t="s">
        <v>653</v>
      </c>
      <c r="C94" s="18"/>
    </row>
    <row r="95" spans="1:3" x14ac:dyDescent="0.25">
      <c r="A95" s="11" t="s">
        <v>654</v>
      </c>
      <c r="B95" s="18" t="s">
        <v>655</v>
      </c>
      <c r="C95" s="18"/>
    </row>
    <row r="96" spans="1:3" x14ac:dyDescent="0.25">
      <c r="A96" s="11" t="s">
        <v>656</v>
      </c>
      <c r="B96" s="18" t="s">
        <v>657</v>
      </c>
      <c r="C96" s="18"/>
    </row>
    <row r="97" spans="1:4" x14ac:dyDescent="0.25">
      <c r="A97" s="11" t="s">
        <v>658</v>
      </c>
      <c r="B97" s="18" t="s">
        <v>659</v>
      </c>
      <c r="C97" s="18"/>
    </row>
    <row r="98" spans="1:4" x14ac:dyDescent="0.25">
      <c r="A98" s="11" t="s">
        <v>660</v>
      </c>
      <c r="B98" s="18" t="s">
        <v>661</v>
      </c>
      <c r="C98" s="18"/>
    </row>
    <row r="99" spans="1:4" x14ac:dyDescent="0.25">
      <c r="A99" s="11" t="s">
        <v>662</v>
      </c>
      <c r="B99" s="18" t="s">
        <v>663</v>
      </c>
      <c r="C99" s="18"/>
    </row>
    <row r="100" spans="1:4" x14ac:dyDescent="0.25">
      <c r="A100" s="11" t="s">
        <v>664</v>
      </c>
      <c r="B100" s="18" t="s">
        <v>665</v>
      </c>
      <c r="C100" s="18"/>
    </row>
    <row r="101" spans="1:4" x14ac:dyDescent="0.25">
      <c r="A101" s="11" t="s">
        <v>666</v>
      </c>
      <c r="B101" s="18" t="s">
        <v>667</v>
      </c>
      <c r="C101" s="18"/>
    </row>
    <row r="102" spans="1:4" x14ac:dyDescent="0.25">
      <c r="A102" s="11" t="s">
        <v>668</v>
      </c>
      <c r="B102" s="18" t="s">
        <v>669</v>
      </c>
      <c r="C102" s="18"/>
    </row>
    <row r="103" spans="1:4" x14ac:dyDescent="0.25">
      <c r="A103" s="11" t="s">
        <v>670</v>
      </c>
      <c r="B103" s="18" t="s">
        <v>671</v>
      </c>
      <c r="C103" s="18"/>
    </row>
    <row r="104" spans="1:4" x14ac:dyDescent="0.25">
      <c r="A104" s="11" t="s">
        <v>672</v>
      </c>
      <c r="B104" s="18" t="s">
        <v>673</v>
      </c>
      <c r="C104" s="18"/>
    </row>
    <row r="105" spans="1:4" x14ac:dyDescent="0.25">
      <c r="A105" s="11" t="s">
        <v>674</v>
      </c>
      <c r="B105" s="18" t="s">
        <v>675</v>
      </c>
      <c r="C105" s="18"/>
    </row>
    <row r="106" spans="1:4" x14ac:dyDescent="0.25">
      <c r="A106" s="11" t="s">
        <v>676</v>
      </c>
      <c r="B106" s="18" t="s">
        <v>677</v>
      </c>
      <c r="C106" s="18"/>
    </row>
    <row r="107" spans="1:4" x14ac:dyDescent="0.25">
      <c r="A107" s="11"/>
      <c r="B107" s="5"/>
      <c r="C107" s="5"/>
    </row>
    <row r="108" spans="1:4" ht="21" x14ac:dyDescent="0.35">
      <c r="A108" s="13" t="s">
        <v>331</v>
      </c>
      <c r="B108" s="15"/>
      <c r="C108" s="15"/>
      <c r="D108" s="15" t="s">
        <v>1161</v>
      </c>
    </row>
    <row r="109" spans="1:4" x14ac:dyDescent="0.25">
      <c r="A109" s="11" t="s">
        <v>332</v>
      </c>
      <c r="B109" s="18" t="s">
        <v>333</v>
      </c>
      <c r="C109" s="18"/>
    </row>
    <row r="110" spans="1:4" x14ac:dyDescent="0.25">
      <c r="A110" s="11" t="s">
        <v>334</v>
      </c>
      <c r="B110" s="18" t="s">
        <v>335</v>
      </c>
      <c r="C110" s="18"/>
    </row>
    <row r="111" spans="1:4" x14ac:dyDescent="0.25">
      <c r="A111" s="11" t="s">
        <v>336</v>
      </c>
      <c r="B111" s="18" t="s">
        <v>337</v>
      </c>
      <c r="C111" s="18"/>
    </row>
    <row r="112" spans="1:4" x14ac:dyDescent="0.25">
      <c r="A112" s="11" t="s">
        <v>338</v>
      </c>
      <c r="B112" s="18" t="s">
        <v>339</v>
      </c>
      <c r="C112" s="54"/>
    </row>
    <row r="113" spans="1:3" x14ac:dyDescent="0.25">
      <c r="A113" s="11" t="s">
        <v>340</v>
      </c>
      <c r="B113" s="18" t="s">
        <v>341</v>
      </c>
      <c r="C113" s="54"/>
    </row>
    <row r="114" spans="1:3" x14ac:dyDescent="0.25">
      <c r="A114" s="11" t="s">
        <v>342</v>
      </c>
      <c r="B114" s="18" t="s">
        <v>343</v>
      </c>
      <c r="C114" s="54"/>
    </row>
    <row r="115" spans="1:3" x14ac:dyDescent="0.25">
      <c r="A115" s="11" t="s">
        <v>344</v>
      </c>
      <c r="B115" s="18" t="s">
        <v>345</v>
      </c>
      <c r="C115" s="54"/>
    </row>
    <row r="116" spans="1:3" x14ac:dyDescent="0.25">
      <c r="A116" s="11" t="s">
        <v>346</v>
      </c>
      <c r="B116" s="18" t="s">
        <v>347</v>
      </c>
      <c r="C116" s="54"/>
    </row>
    <row r="117" spans="1:3" x14ac:dyDescent="0.25">
      <c r="A117" s="11" t="s">
        <v>348</v>
      </c>
      <c r="B117" s="18" t="s">
        <v>349</v>
      </c>
      <c r="C117" s="54"/>
    </row>
    <row r="118" spans="1:3" x14ac:dyDescent="0.25">
      <c r="A118" s="11" t="s">
        <v>350</v>
      </c>
      <c r="B118" s="18" t="s">
        <v>351</v>
      </c>
      <c r="C118" s="54"/>
    </row>
    <row r="119" spans="1:3" x14ac:dyDescent="0.25">
      <c r="A119" s="11" t="s">
        <v>352</v>
      </c>
      <c r="B119" s="18" t="s">
        <v>353</v>
      </c>
      <c r="C119" s="54"/>
    </row>
    <row r="120" spans="1:3" x14ac:dyDescent="0.25">
      <c r="A120" s="11" t="s">
        <v>354</v>
      </c>
      <c r="B120" s="18" t="s">
        <v>355</v>
      </c>
      <c r="C120" s="54"/>
    </row>
    <row r="121" spans="1:3" x14ac:dyDescent="0.25">
      <c r="A121" s="11" t="s">
        <v>356</v>
      </c>
      <c r="B121" s="18" t="s">
        <v>357</v>
      </c>
      <c r="C121" s="54"/>
    </row>
    <row r="122" spans="1:3" x14ac:dyDescent="0.25">
      <c r="A122" s="11" t="s">
        <v>358</v>
      </c>
      <c r="B122" s="18" t="s">
        <v>359</v>
      </c>
      <c r="C122" s="54"/>
    </row>
    <row r="123" spans="1:3" x14ac:dyDescent="0.25">
      <c r="A123" s="11" t="s">
        <v>360</v>
      </c>
      <c r="B123" s="18" t="s">
        <v>361</v>
      </c>
      <c r="C123" s="54"/>
    </row>
    <row r="124" spans="1:3" x14ac:dyDescent="0.25">
      <c r="A124" s="11" t="s">
        <v>362</v>
      </c>
      <c r="B124" s="18" t="s">
        <v>363</v>
      </c>
      <c r="C124" s="54"/>
    </row>
    <row r="125" spans="1:3" x14ac:dyDescent="0.25">
      <c r="A125" s="11" t="s">
        <v>364</v>
      </c>
      <c r="B125" s="18" t="s">
        <v>365</v>
      </c>
      <c r="C125" s="54"/>
    </row>
    <row r="126" spans="1:3" x14ac:dyDescent="0.25">
      <c r="A126" s="11" t="s">
        <v>366</v>
      </c>
      <c r="B126" s="18" t="s">
        <v>367</v>
      </c>
      <c r="C126" s="54"/>
    </row>
    <row r="127" spans="1:3" x14ac:dyDescent="0.25">
      <c r="A127" s="11" t="s">
        <v>368</v>
      </c>
      <c r="B127" s="18" t="s">
        <v>261</v>
      </c>
      <c r="C127" s="54"/>
    </row>
    <row r="128" spans="1:3" x14ac:dyDescent="0.25">
      <c r="A128" s="11" t="s">
        <v>369</v>
      </c>
      <c r="B128" s="18" t="s">
        <v>370</v>
      </c>
      <c r="C128" s="54"/>
    </row>
    <row r="129" spans="1:3" x14ac:dyDescent="0.25">
      <c r="A129" s="11" t="s">
        <v>371</v>
      </c>
      <c r="B129" s="18" t="s">
        <v>372</v>
      </c>
      <c r="C129" s="54"/>
    </row>
    <row r="130" spans="1:3" x14ac:dyDescent="0.25">
      <c r="A130" s="11" t="s">
        <v>373</v>
      </c>
      <c r="B130" s="18" t="s">
        <v>374</v>
      </c>
      <c r="C130" s="54"/>
    </row>
    <row r="131" spans="1:3" x14ac:dyDescent="0.25">
      <c r="A131" s="11" t="s">
        <v>375</v>
      </c>
      <c r="B131" s="18" t="s">
        <v>376</v>
      </c>
      <c r="C131" s="54"/>
    </row>
    <row r="132" spans="1:3" x14ac:dyDescent="0.25">
      <c r="A132" s="11" t="s">
        <v>377</v>
      </c>
      <c r="B132" s="18" t="s">
        <v>378</v>
      </c>
      <c r="C132" s="54"/>
    </row>
    <row r="133" spans="1:3" x14ac:dyDescent="0.25">
      <c r="A133" s="11" t="s">
        <v>379</v>
      </c>
      <c r="B133" s="18" t="s">
        <v>380</v>
      </c>
      <c r="C133" s="18"/>
    </row>
    <row r="134" spans="1:3" x14ac:dyDescent="0.25">
      <c r="A134" s="11" t="s">
        <v>381</v>
      </c>
      <c r="B134" s="18" t="s">
        <v>382</v>
      </c>
      <c r="C134" s="18"/>
    </row>
    <row r="135" spans="1:3" x14ac:dyDescent="0.25">
      <c r="A135" s="11" t="s">
        <v>383</v>
      </c>
      <c r="B135" s="18" t="s">
        <v>384</v>
      </c>
      <c r="C135" s="18"/>
    </row>
    <row r="136" spans="1:3" x14ac:dyDescent="0.25">
      <c r="A136" s="11" t="s">
        <v>385</v>
      </c>
      <c r="B136" s="18" t="s">
        <v>386</v>
      </c>
      <c r="C136" s="18"/>
    </row>
    <row r="137" spans="1:3" x14ac:dyDescent="0.25">
      <c r="A137" s="11" t="s">
        <v>387</v>
      </c>
      <c r="B137" s="18" t="s">
        <v>388</v>
      </c>
      <c r="C137" s="18"/>
    </row>
    <row r="138" spans="1:3" x14ac:dyDescent="0.25">
      <c r="A138" s="11" t="s">
        <v>389</v>
      </c>
      <c r="B138" s="18" t="s">
        <v>390</v>
      </c>
      <c r="C138" s="18"/>
    </row>
    <row r="139" spans="1:3" x14ac:dyDescent="0.25">
      <c r="A139" s="11" t="s">
        <v>391</v>
      </c>
      <c r="B139" s="18" t="s">
        <v>392</v>
      </c>
      <c r="C139" s="18"/>
    </row>
    <row r="140" spans="1:3" x14ac:dyDescent="0.25">
      <c r="A140" s="11" t="s">
        <v>393</v>
      </c>
      <c r="B140" s="18" t="s">
        <v>394</v>
      </c>
      <c r="C140" s="18"/>
    </row>
    <row r="141" spans="1:3" x14ac:dyDescent="0.25">
      <c r="A141" s="11" t="s">
        <v>395</v>
      </c>
      <c r="B141" s="18" t="s">
        <v>396</v>
      </c>
      <c r="C141" s="18"/>
    </row>
    <row r="142" spans="1:3" x14ac:dyDescent="0.25">
      <c r="A142" s="11" t="s">
        <v>397</v>
      </c>
      <c r="B142" s="18" t="s">
        <v>398</v>
      </c>
      <c r="C142" s="18"/>
    </row>
    <row r="143" spans="1:3" x14ac:dyDescent="0.25">
      <c r="A143" s="11" t="s">
        <v>399</v>
      </c>
      <c r="B143" s="18" t="s">
        <v>400</v>
      </c>
      <c r="C143" s="18"/>
    </row>
    <row r="144" spans="1:3" x14ac:dyDescent="0.25">
      <c r="A144" s="11" t="s">
        <v>401</v>
      </c>
      <c r="B144" s="18" t="s">
        <v>402</v>
      </c>
      <c r="C144" s="18"/>
    </row>
    <row r="145" spans="1:3" x14ac:dyDescent="0.25">
      <c r="A145" s="11" t="s">
        <v>403</v>
      </c>
      <c r="B145" s="18" t="s">
        <v>404</v>
      </c>
      <c r="C145" s="18"/>
    </row>
    <row r="146" spans="1:3" x14ac:dyDescent="0.25">
      <c r="A146" s="11"/>
      <c r="B146" s="18"/>
      <c r="C146" s="18"/>
    </row>
    <row r="147" spans="1:3" x14ac:dyDescent="0.25">
      <c r="A147" s="11" t="s">
        <v>514</v>
      </c>
      <c r="B147" s="18" t="s">
        <v>515</v>
      </c>
      <c r="C147" s="18"/>
    </row>
    <row r="148" spans="1:3" x14ac:dyDescent="0.25">
      <c r="A148" s="11" t="s">
        <v>516</v>
      </c>
      <c r="B148" s="18" t="s">
        <v>517</v>
      </c>
      <c r="C148" s="18"/>
    </row>
    <row r="149" spans="1:3" x14ac:dyDescent="0.25">
      <c r="A149" s="11"/>
      <c r="B149" s="18"/>
      <c r="C149" s="18"/>
    </row>
    <row r="150" spans="1:3" x14ac:dyDescent="0.25">
      <c r="A150" s="11" t="s">
        <v>518</v>
      </c>
      <c r="B150" s="18" t="s">
        <v>519</v>
      </c>
      <c r="C150" s="18"/>
    </row>
    <row r="151" spans="1:3" x14ac:dyDescent="0.25">
      <c r="A151" s="11" t="s">
        <v>520</v>
      </c>
      <c r="B151" s="18" t="s">
        <v>521</v>
      </c>
      <c r="C151" s="18"/>
    </row>
    <row r="152" spans="1:3" x14ac:dyDescent="0.25">
      <c r="A152" s="11" t="s">
        <v>522</v>
      </c>
      <c r="B152" s="18" t="s">
        <v>523</v>
      </c>
      <c r="C152" s="18"/>
    </row>
    <row r="153" spans="1:3" x14ac:dyDescent="0.25">
      <c r="A153" s="11"/>
      <c r="B153" s="18"/>
      <c r="C153" s="18"/>
    </row>
    <row r="154" spans="1:3" x14ac:dyDescent="0.25">
      <c r="A154" s="11"/>
      <c r="B154" s="18"/>
      <c r="C154" s="18"/>
    </row>
    <row r="155" spans="1:3" x14ac:dyDescent="0.25">
      <c r="A155" s="11" t="s">
        <v>524</v>
      </c>
      <c r="B155" s="18" t="s">
        <v>525</v>
      </c>
      <c r="C155" s="18"/>
    </row>
    <row r="156" spans="1:3" x14ac:dyDescent="0.25">
      <c r="A156" s="11" t="s">
        <v>526</v>
      </c>
      <c r="B156" s="18" t="s">
        <v>527</v>
      </c>
      <c r="C156" s="18"/>
    </row>
    <row r="157" spans="1:3" x14ac:dyDescent="0.25">
      <c r="A157" s="11" t="s">
        <v>528</v>
      </c>
      <c r="B157" s="18" t="s">
        <v>529</v>
      </c>
      <c r="C157" s="18"/>
    </row>
    <row r="158" spans="1:3" x14ac:dyDescent="0.25">
      <c r="A158" s="11" t="s">
        <v>530</v>
      </c>
      <c r="B158" s="18" t="s">
        <v>531</v>
      </c>
      <c r="C158" s="18"/>
    </row>
    <row r="159" spans="1:3" x14ac:dyDescent="0.25">
      <c r="A159" s="11" t="s">
        <v>532</v>
      </c>
      <c r="B159" s="18" t="s">
        <v>533</v>
      </c>
      <c r="C159" s="18"/>
    </row>
    <row r="160" spans="1:3" x14ac:dyDescent="0.25">
      <c r="A160" s="11"/>
      <c r="B160" s="18"/>
      <c r="C160" s="18"/>
    </row>
    <row r="161" spans="1:3" x14ac:dyDescent="0.25">
      <c r="A161" s="11" t="s">
        <v>534</v>
      </c>
      <c r="B161" s="18" t="s">
        <v>535</v>
      </c>
      <c r="C161" s="18"/>
    </row>
    <row r="162" spans="1:3" x14ac:dyDescent="0.25">
      <c r="A162" s="11" t="s">
        <v>536</v>
      </c>
      <c r="B162" s="18" t="s">
        <v>537</v>
      </c>
      <c r="C162" s="18"/>
    </row>
    <row r="163" spans="1:3" x14ac:dyDescent="0.25">
      <c r="A163" s="11" t="s">
        <v>538</v>
      </c>
      <c r="B163" s="18" t="s">
        <v>539</v>
      </c>
      <c r="C163" s="18"/>
    </row>
    <row r="164" spans="1:3" x14ac:dyDescent="0.25">
      <c r="A164" s="11" t="s">
        <v>540</v>
      </c>
      <c r="B164" s="18" t="s">
        <v>541</v>
      </c>
      <c r="C164" s="18"/>
    </row>
    <row r="165" spans="1:3" x14ac:dyDescent="0.25">
      <c r="A165" s="11" t="s">
        <v>542</v>
      </c>
      <c r="B165" s="18" t="s">
        <v>543</v>
      </c>
      <c r="C165" s="18"/>
    </row>
    <row r="166" spans="1:3" x14ac:dyDescent="0.25">
      <c r="A166" s="11"/>
      <c r="B166" s="18"/>
      <c r="C166" s="18"/>
    </row>
    <row r="167" spans="1:3" x14ac:dyDescent="0.25">
      <c r="A167" s="11" t="s">
        <v>544</v>
      </c>
      <c r="B167" s="18" t="s">
        <v>545</v>
      </c>
      <c r="C167" s="18"/>
    </row>
    <row r="168" spans="1:3" x14ac:dyDescent="0.25">
      <c r="A168" s="11" t="s">
        <v>546</v>
      </c>
      <c r="B168" s="18" t="s">
        <v>547</v>
      </c>
      <c r="C168" s="18"/>
    </row>
    <row r="169" spans="1:3" x14ac:dyDescent="0.25">
      <c r="A169" s="11" t="s">
        <v>548</v>
      </c>
      <c r="B169" s="18" t="s">
        <v>549</v>
      </c>
      <c r="C169" s="18"/>
    </row>
    <row r="170" spans="1:3" x14ac:dyDescent="0.25">
      <c r="A170" s="11" t="s">
        <v>550</v>
      </c>
      <c r="B170" s="18" t="s">
        <v>551</v>
      </c>
      <c r="C170" s="18"/>
    </row>
    <row r="171" spans="1:3" x14ac:dyDescent="0.25">
      <c r="A171" s="11" t="s">
        <v>552</v>
      </c>
      <c r="B171" s="18" t="s">
        <v>553</v>
      </c>
      <c r="C171" s="18"/>
    </row>
    <row r="172" spans="1:3" x14ac:dyDescent="0.25">
      <c r="A172" s="11" t="s">
        <v>554</v>
      </c>
      <c r="B172" s="18" t="s">
        <v>555</v>
      </c>
      <c r="C172" s="18"/>
    </row>
    <row r="173" spans="1:3" x14ac:dyDescent="0.25">
      <c r="A173" s="11" t="s">
        <v>556</v>
      </c>
      <c r="B173" s="18" t="s">
        <v>557</v>
      </c>
      <c r="C173" s="18"/>
    </row>
    <row r="174" spans="1:3" x14ac:dyDescent="0.25">
      <c r="A174" s="11" t="s">
        <v>558</v>
      </c>
      <c r="B174" s="18" t="s">
        <v>559</v>
      </c>
      <c r="C174" s="18"/>
    </row>
    <row r="175" spans="1:3" x14ac:dyDescent="0.25">
      <c r="A175" s="11" t="s">
        <v>560</v>
      </c>
      <c r="B175" s="18" t="s">
        <v>561</v>
      </c>
      <c r="C175" s="18"/>
    </row>
    <row r="176" spans="1:3" x14ac:dyDescent="0.25">
      <c r="A176" s="11" t="s">
        <v>562</v>
      </c>
      <c r="B176" s="18" t="s">
        <v>563</v>
      </c>
      <c r="C176" s="18"/>
    </row>
    <row r="177" spans="1:3" x14ac:dyDescent="0.25">
      <c r="A177" s="11" t="s">
        <v>564</v>
      </c>
      <c r="B177" s="18" t="s">
        <v>565</v>
      </c>
      <c r="C177" s="18"/>
    </row>
    <row r="178" spans="1:3" x14ac:dyDescent="0.25">
      <c r="A178" s="11" t="s">
        <v>566</v>
      </c>
      <c r="B178" s="18" t="s">
        <v>567</v>
      </c>
      <c r="C178" s="18"/>
    </row>
    <row r="179" spans="1:3" x14ac:dyDescent="0.25">
      <c r="A179" s="11" t="s">
        <v>568</v>
      </c>
      <c r="B179" s="18" t="s">
        <v>569</v>
      </c>
      <c r="C179" s="18"/>
    </row>
    <row r="180" spans="1:3" x14ac:dyDescent="0.25">
      <c r="A180" s="11" t="s">
        <v>570</v>
      </c>
      <c r="B180" s="18" t="s">
        <v>571</v>
      </c>
      <c r="C180" s="18"/>
    </row>
    <row r="181" spans="1:3" x14ac:dyDescent="0.25">
      <c r="A181" s="11" t="s">
        <v>572</v>
      </c>
      <c r="B181" s="18" t="s">
        <v>573</v>
      </c>
      <c r="C181" s="18"/>
    </row>
    <row r="182" spans="1:3" x14ac:dyDescent="0.25">
      <c r="A182" s="11" t="s">
        <v>574</v>
      </c>
      <c r="B182" s="18" t="s">
        <v>575</v>
      </c>
      <c r="C182" s="18"/>
    </row>
    <row r="183" spans="1:3" x14ac:dyDescent="0.25">
      <c r="A183" s="11"/>
      <c r="B183" s="18"/>
      <c r="C183" s="18"/>
    </row>
    <row r="184" spans="1:3" x14ac:dyDescent="0.25">
      <c r="A184" s="11" t="s">
        <v>576</v>
      </c>
      <c r="B184" s="18" t="s">
        <v>577</v>
      </c>
      <c r="C184" s="18"/>
    </row>
    <row r="185" spans="1:3" x14ac:dyDescent="0.25">
      <c r="A185" s="11" t="s">
        <v>578</v>
      </c>
      <c r="B185" s="18" t="s">
        <v>579</v>
      </c>
      <c r="C185" s="18"/>
    </row>
    <row r="186" spans="1:3" x14ac:dyDescent="0.25">
      <c r="A186" s="11"/>
      <c r="B186" s="18"/>
      <c r="C186" s="18"/>
    </row>
    <row r="187" spans="1:3" x14ac:dyDescent="0.25">
      <c r="A187" s="11" t="s">
        <v>580</v>
      </c>
      <c r="B187" s="18" t="s">
        <v>581</v>
      </c>
      <c r="C187" s="18"/>
    </row>
    <row r="188" spans="1:3" x14ac:dyDescent="0.25">
      <c r="A188" s="11" t="s">
        <v>582</v>
      </c>
      <c r="B188" s="18" t="s">
        <v>583</v>
      </c>
      <c r="C188" s="18"/>
    </row>
    <row r="189" spans="1:3" x14ac:dyDescent="0.25">
      <c r="A189" s="11"/>
      <c r="B189" s="18"/>
      <c r="C189" s="18"/>
    </row>
    <row r="190" spans="1:3" x14ac:dyDescent="0.25">
      <c r="A190" s="11"/>
      <c r="B190" s="18"/>
      <c r="C190" s="18"/>
    </row>
    <row r="191" spans="1:3" x14ac:dyDescent="0.25">
      <c r="A191" s="11"/>
      <c r="B191" s="18"/>
      <c r="C191" s="18"/>
    </row>
    <row r="192" spans="1:3" x14ac:dyDescent="0.25">
      <c r="A192" s="11"/>
      <c r="B192" s="18"/>
      <c r="C192" s="18"/>
    </row>
    <row r="193" spans="1:4" x14ac:dyDescent="0.25">
      <c r="A193" s="11"/>
      <c r="B193" s="18"/>
      <c r="C193" s="18"/>
    </row>
    <row r="194" spans="1:4" ht="21" x14ac:dyDescent="0.35">
      <c r="A194" s="13" t="s">
        <v>1162</v>
      </c>
      <c r="B194" s="15"/>
      <c r="C194" s="15"/>
      <c r="D194" s="15" t="s">
        <v>1163</v>
      </c>
    </row>
    <row r="195" spans="1:4" x14ac:dyDescent="0.25">
      <c r="A195" s="11" t="s">
        <v>405</v>
      </c>
      <c r="B195" s="18" t="s">
        <v>406</v>
      </c>
      <c r="C195" s="54"/>
    </row>
    <row r="196" spans="1:4" x14ac:dyDescent="0.25">
      <c r="A196" s="11" t="s">
        <v>407</v>
      </c>
      <c r="B196" s="18" t="s">
        <v>408</v>
      </c>
      <c r="C196" s="54"/>
    </row>
    <row r="197" spans="1:4" x14ac:dyDescent="0.25">
      <c r="A197" s="11" t="s">
        <v>409</v>
      </c>
      <c r="B197" s="18" t="s">
        <v>410</v>
      </c>
      <c r="C197" s="54"/>
    </row>
    <row r="198" spans="1:4" x14ac:dyDescent="0.25">
      <c r="A198" s="11" t="s">
        <v>411</v>
      </c>
      <c r="B198" s="18" t="s">
        <v>412</v>
      </c>
      <c r="C198" s="54"/>
    </row>
    <row r="199" spans="1:4" x14ac:dyDescent="0.25">
      <c r="A199" s="11" t="s">
        <v>413</v>
      </c>
      <c r="B199" s="18" t="s">
        <v>414</v>
      </c>
      <c r="C199" s="54"/>
    </row>
    <row r="200" spans="1:4" x14ac:dyDescent="0.25">
      <c r="A200" s="11" t="s">
        <v>415</v>
      </c>
      <c r="B200" s="18" t="s">
        <v>416</v>
      </c>
      <c r="C200" s="54"/>
    </row>
    <row r="201" spans="1:4" x14ac:dyDescent="0.25">
      <c r="A201" s="11" t="s">
        <v>417</v>
      </c>
      <c r="B201" s="18" t="s">
        <v>418</v>
      </c>
      <c r="C201" s="54"/>
    </row>
    <row r="202" spans="1:4" x14ac:dyDescent="0.25">
      <c r="A202" s="11" t="s">
        <v>419</v>
      </c>
      <c r="B202" s="18" t="s">
        <v>420</v>
      </c>
      <c r="C202" s="54"/>
    </row>
    <row r="203" spans="1:4" x14ac:dyDescent="0.25">
      <c r="A203" s="11" t="s">
        <v>421</v>
      </c>
      <c r="B203" s="18" t="s">
        <v>422</v>
      </c>
      <c r="C203" s="54"/>
    </row>
    <row r="204" spans="1:4" x14ac:dyDescent="0.25">
      <c r="A204" s="11" t="s">
        <v>423</v>
      </c>
      <c r="B204" s="18" t="s">
        <v>424</v>
      </c>
      <c r="C204" s="54"/>
    </row>
    <row r="205" spans="1:4" x14ac:dyDescent="0.25">
      <c r="A205" s="11" t="s">
        <v>425</v>
      </c>
      <c r="B205" s="18" t="s">
        <v>426</v>
      </c>
      <c r="C205" s="54"/>
    </row>
    <row r="206" spans="1:4" x14ac:dyDescent="0.25">
      <c r="A206" s="11"/>
      <c r="B206" s="18"/>
      <c r="C206" s="54"/>
    </row>
    <row r="207" spans="1:4" x14ac:dyDescent="0.25">
      <c r="A207" s="11" t="s">
        <v>584</v>
      </c>
      <c r="B207" s="18" t="s">
        <v>585</v>
      </c>
      <c r="C207" s="54"/>
    </row>
    <row r="208" spans="1:4" x14ac:dyDescent="0.25">
      <c r="A208" s="11" t="s">
        <v>586</v>
      </c>
      <c r="B208" s="18" t="s">
        <v>587</v>
      </c>
      <c r="C208" s="54"/>
    </row>
    <row r="209" spans="1:3" x14ac:dyDescent="0.25">
      <c r="A209" s="11" t="s">
        <v>588</v>
      </c>
      <c r="B209" s="18" t="s">
        <v>589</v>
      </c>
      <c r="C209" s="54"/>
    </row>
    <row r="210" spans="1:3" x14ac:dyDescent="0.25">
      <c r="A210" s="11" t="s">
        <v>590</v>
      </c>
      <c r="B210" s="18" t="s">
        <v>591</v>
      </c>
      <c r="C210" s="54"/>
    </row>
    <row r="211" spans="1:3" x14ac:dyDescent="0.25">
      <c r="A211" s="11"/>
      <c r="B211" s="18"/>
      <c r="C211" s="54"/>
    </row>
    <row r="212" spans="1:3" x14ac:dyDescent="0.25">
      <c r="A212" s="11" t="s">
        <v>592</v>
      </c>
      <c r="B212" s="18" t="s">
        <v>593</v>
      </c>
      <c r="C212" s="54"/>
    </row>
    <row r="213" spans="1:3" x14ac:dyDescent="0.25">
      <c r="A213" s="11" t="s">
        <v>594</v>
      </c>
      <c r="B213" s="18" t="s">
        <v>595</v>
      </c>
      <c r="C213" s="54"/>
    </row>
    <row r="214" spans="1:3" x14ac:dyDescent="0.25">
      <c r="A214" s="11" t="s">
        <v>596</v>
      </c>
      <c r="B214" s="18" t="s">
        <v>597</v>
      </c>
      <c r="C214" s="54"/>
    </row>
    <row r="215" spans="1:3" x14ac:dyDescent="0.25">
      <c r="A215" s="11" t="s">
        <v>598</v>
      </c>
      <c r="B215" s="18" t="s">
        <v>599</v>
      </c>
      <c r="C215" s="54"/>
    </row>
    <row r="216" spans="1:3" x14ac:dyDescent="0.25">
      <c r="A216" s="11" t="s">
        <v>600</v>
      </c>
      <c r="B216" s="18" t="s">
        <v>601</v>
      </c>
      <c r="C216" s="54"/>
    </row>
    <row r="217" spans="1:3" x14ac:dyDescent="0.25">
      <c r="A217" s="11" t="s">
        <v>602</v>
      </c>
      <c r="B217" s="18" t="s">
        <v>603</v>
      </c>
      <c r="C217" s="54"/>
    </row>
    <row r="218" spans="1:3" x14ac:dyDescent="0.25">
      <c r="A218" s="11"/>
      <c r="B218" s="18"/>
      <c r="C218" s="54"/>
    </row>
    <row r="219" spans="1:3" x14ac:dyDescent="0.25">
      <c r="A219" s="11" t="s">
        <v>604</v>
      </c>
      <c r="B219" s="18" t="s">
        <v>605</v>
      </c>
      <c r="C219" s="18" t="s">
        <v>35</v>
      </c>
    </row>
    <row r="220" spans="1:3" x14ac:dyDescent="0.25">
      <c r="A220" s="11" t="s">
        <v>606</v>
      </c>
      <c r="B220" s="18" t="s">
        <v>607</v>
      </c>
      <c r="C220" s="54"/>
    </row>
    <row r="221" spans="1:3" x14ac:dyDescent="0.25">
      <c r="A221" s="11" t="s">
        <v>608</v>
      </c>
      <c r="B221" s="18" t="s">
        <v>609</v>
      </c>
      <c r="C221" s="54"/>
    </row>
    <row r="222" spans="1:3" x14ac:dyDescent="0.25">
      <c r="A222" s="11" t="s">
        <v>610</v>
      </c>
      <c r="B222" s="18" t="s">
        <v>611</v>
      </c>
      <c r="C222" s="54"/>
    </row>
    <row r="223" spans="1:3" x14ac:dyDescent="0.25">
      <c r="A223" s="11"/>
      <c r="B223" s="18"/>
      <c r="C223" s="54"/>
    </row>
    <row r="224" spans="1:3" x14ac:dyDescent="0.25">
      <c r="A224" s="11" t="s">
        <v>612</v>
      </c>
      <c r="B224" s="18" t="s">
        <v>613</v>
      </c>
      <c r="C224" s="54"/>
    </row>
    <row r="225" spans="1:4" x14ac:dyDescent="0.25">
      <c r="A225" s="11" t="s">
        <v>614</v>
      </c>
      <c r="B225" s="18" t="s">
        <v>615</v>
      </c>
      <c r="C225" s="54"/>
    </row>
    <row r="226" spans="1:4" x14ac:dyDescent="0.25">
      <c r="A226" s="11"/>
      <c r="B226" s="18"/>
      <c r="C226" s="54"/>
    </row>
    <row r="227" spans="1:4" x14ac:dyDescent="0.25">
      <c r="A227" s="11"/>
      <c r="B227" s="18"/>
      <c r="C227" s="54"/>
    </row>
    <row r="228" spans="1:4" ht="21" x14ac:dyDescent="0.35">
      <c r="A228" s="13" t="s">
        <v>427</v>
      </c>
      <c r="B228" s="15"/>
      <c r="C228" s="15"/>
      <c r="D228" s="15" t="s">
        <v>1168</v>
      </c>
    </row>
    <row r="229" spans="1:4" x14ac:dyDescent="0.25">
      <c r="A229" s="11" t="s">
        <v>428</v>
      </c>
      <c r="B229" s="18" t="s">
        <v>429</v>
      </c>
      <c r="C229" s="54"/>
    </row>
    <row r="230" spans="1:4" x14ac:dyDescent="0.25">
      <c r="A230" s="11" t="s">
        <v>430</v>
      </c>
      <c r="B230" s="18" t="s">
        <v>431</v>
      </c>
      <c r="C230" s="54"/>
    </row>
    <row r="231" spans="1:4" x14ac:dyDescent="0.25">
      <c r="A231" s="11" t="s">
        <v>432</v>
      </c>
      <c r="B231" s="18" t="s">
        <v>433</v>
      </c>
      <c r="C231" s="54"/>
    </row>
    <row r="232" spans="1:4" x14ac:dyDescent="0.25">
      <c r="A232" s="11" t="s">
        <v>434</v>
      </c>
      <c r="B232" s="18" t="s">
        <v>435</v>
      </c>
      <c r="C232" s="54"/>
    </row>
    <row r="233" spans="1:4" x14ac:dyDescent="0.25">
      <c r="A233" s="11" t="s">
        <v>436</v>
      </c>
      <c r="B233" s="18" t="s">
        <v>437</v>
      </c>
      <c r="C233" s="54"/>
    </row>
    <row r="234" spans="1:4" x14ac:dyDescent="0.25">
      <c r="A234" s="11" t="s">
        <v>438</v>
      </c>
      <c r="B234" s="18" t="s">
        <v>439</v>
      </c>
      <c r="C234" s="54"/>
    </row>
    <row r="235" spans="1:4" x14ac:dyDescent="0.25">
      <c r="A235" s="11" t="s">
        <v>440</v>
      </c>
      <c r="B235" s="18" t="s">
        <v>441</v>
      </c>
      <c r="C235" s="54"/>
    </row>
    <row r="236" spans="1:4" x14ac:dyDescent="0.25">
      <c r="A236" s="11" t="s">
        <v>442</v>
      </c>
      <c r="B236" s="18" t="s">
        <v>443</v>
      </c>
      <c r="C236" s="54"/>
    </row>
    <row r="238" spans="1:4" ht="21" x14ac:dyDescent="0.35">
      <c r="A238" s="13" t="s">
        <v>321</v>
      </c>
      <c r="B238" s="103"/>
      <c r="C238" s="103"/>
    </row>
    <row r="239" spans="1:4" x14ac:dyDescent="0.25">
      <c r="A239" s="11" t="s">
        <v>616</v>
      </c>
      <c r="B239" s="18" t="s">
        <v>617</v>
      </c>
      <c r="C239" s="18" t="s">
        <v>35</v>
      </c>
    </row>
    <row r="240" spans="1:4" x14ac:dyDescent="0.25">
      <c r="A240" s="11" t="s">
        <v>618</v>
      </c>
      <c r="B240" s="18" t="s">
        <v>619</v>
      </c>
      <c r="C240" s="18"/>
    </row>
    <row r="241" spans="1:3" x14ac:dyDescent="0.25">
      <c r="A241" s="11" t="s">
        <v>620</v>
      </c>
      <c r="B241" s="18" t="s">
        <v>621</v>
      </c>
      <c r="C241" s="18"/>
    </row>
    <row r="242" spans="1:3" x14ac:dyDescent="0.25">
      <c r="A242" s="11" t="s">
        <v>622</v>
      </c>
      <c r="B242" s="18" t="s">
        <v>623</v>
      </c>
      <c r="C242" s="18"/>
    </row>
    <row r="243" spans="1:3" x14ac:dyDescent="0.25">
      <c r="A243" s="11" t="s">
        <v>624</v>
      </c>
      <c r="B243" s="18" t="s">
        <v>625</v>
      </c>
      <c r="C243" s="18"/>
    </row>
    <row r="244" spans="1:3" ht="21" x14ac:dyDescent="0.35">
      <c r="A244" s="13" t="s">
        <v>678</v>
      </c>
      <c r="B244" s="103"/>
      <c r="C244" s="103"/>
    </row>
    <row r="245" spans="1:3" x14ac:dyDescent="0.25">
      <c r="A245" s="11" t="s">
        <v>679</v>
      </c>
      <c r="B245" s="18" t="s">
        <v>680</v>
      </c>
      <c r="C245" s="18" t="s">
        <v>34</v>
      </c>
    </row>
    <row r="246" spans="1:3" x14ac:dyDescent="0.25">
      <c r="A246" s="11" t="s">
        <v>681</v>
      </c>
      <c r="B246" s="18" t="s">
        <v>682</v>
      </c>
      <c r="C246" s="18"/>
    </row>
    <row r="247" spans="1:3" x14ac:dyDescent="0.25">
      <c r="A247" s="11" t="s">
        <v>683</v>
      </c>
      <c r="B247" s="18" t="s">
        <v>684</v>
      </c>
      <c r="C247" s="18" t="s">
        <v>34</v>
      </c>
    </row>
    <row r="248" spans="1:3" x14ac:dyDescent="0.25">
      <c r="A248" s="11" t="s">
        <v>685</v>
      </c>
      <c r="B248" s="18" t="s">
        <v>686</v>
      </c>
      <c r="C248" s="18" t="s">
        <v>34</v>
      </c>
    </row>
    <row r="249" spans="1:3" x14ac:dyDescent="0.25">
      <c r="A249" s="11" t="s">
        <v>687</v>
      </c>
      <c r="B249" s="18" t="s">
        <v>688</v>
      </c>
      <c r="C249" s="18" t="s">
        <v>34</v>
      </c>
    </row>
    <row r="250" spans="1:3" x14ac:dyDescent="0.25">
      <c r="A250" s="11" t="s">
        <v>689</v>
      </c>
      <c r="B250" s="18" t="s">
        <v>690</v>
      </c>
      <c r="C250" s="18" t="s">
        <v>34</v>
      </c>
    </row>
    <row r="251" spans="1:3" x14ac:dyDescent="0.25">
      <c r="A251" s="11" t="s">
        <v>691</v>
      </c>
      <c r="B251" s="18" t="s">
        <v>692</v>
      </c>
      <c r="C251" s="18"/>
    </row>
    <row r="252" spans="1:3" x14ac:dyDescent="0.25">
      <c r="A252" s="11" t="s">
        <v>693</v>
      </c>
      <c r="B252" s="18" t="s">
        <v>694</v>
      </c>
      <c r="C252" s="18" t="s">
        <v>36</v>
      </c>
    </row>
    <row r="253" spans="1:3" x14ac:dyDescent="0.25">
      <c r="A253" s="11" t="s">
        <v>695</v>
      </c>
      <c r="B253" s="18" t="s">
        <v>696</v>
      </c>
      <c r="C253" s="18" t="s">
        <v>34</v>
      </c>
    </row>
    <row r="254" spans="1:3" x14ac:dyDescent="0.25">
      <c r="A254" s="11" t="s">
        <v>697</v>
      </c>
      <c r="B254" s="18" t="s">
        <v>698</v>
      </c>
      <c r="C254" s="18" t="s">
        <v>34</v>
      </c>
    </row>
    <row r="255" spans="1:3" x14ac:dyDescent="0.25">
      <c r="A255" s="11" t="s">
        <v>699</v>
      </c>
      <c r="B255" s="18" t="s">
        <v>700</v>
      </c>
      <c r="C255" s="18" t="s">
        <v>34</v>
      </c>
    </row>
    <row r="256" spans="1:3" x14ac:dyDescent="0.25">
      <c r="A256" s="11" t="s">
        <v>701</v>
      </c>
      <c r="B256" s="18" t="s">
        <v>702</v>
      </c>
      <c r="C256" s="18" t="s">
        <v>34</v>
      </c>
    </row>
    <row r="257" spans="1:4" x14ac:dyDescent="0.25">
      <c r="A257" s="11" t="s">
        <v>703</v>
      </c>
      <c r="B257" s="18" t="s">
        <v>704</v>
      </c>
      <c r="C257" s="18" t="s">
        <v>34</v>
      </c>
    </row>
    <row r="258" spans="1:4" x14ac:dyDescent="0.25">
      <c r="A258" s="11" t="s">
        <v>705</v>
      </c>
      <c r="B258" s="18" t="s">
        <v>706</v>
      </c>
      <c r="C258" s="18" t="s">
        <v>34</v>
      </c>
    </row>
    <row r="259" spans="1:4" x14ac:dyDescent="0.25">
      <c r="A259" s="11"/>
      <c r="B259" s="18"/>
      <c r="C259" s="18"/>
    </row>
    <row r="260" spans="1:4" x14ac:dyDescent="0.25">
      <c r="A260" s="11"/>
      <c r="B260" s="18"/>
      <c r="C260" s="18"/>
    </row>
    <row r="261" spans="1:4" ht="21" x14ac:dyDescent="0.35">
      <c r="A261" s="13" t="s">
        <v>707</v>
      </c>
      <c r="B261" s="103"/>
      <c r="C261" s="103"/>
      <c r="D261" s="103" t="s">
        <v>246</v>
      </c>
    </row>
    <row r="262" spans="1:4" x14ac:dyDescent="0.25">
      <c r="A262" s="11"/>
      <c r="B262" s="18"/>
      <c r="C262" s="18"/>
    </row>
    <row r="263" spans="1:4" x14ac:dyDescent="0.25">
      <c r="A263" s="11" t="s">
        <v>708</v>
      </c>
      <c r="B263" s="18" t="s">
        <v>709</v>
      </c>
      <c r="C263" s="18" t="s">
        <v>34</v>
      </c>
    </row>
    <row r="264" spans="1:4" x14ac:dyDescent="0.25">
      <c r="A264" s="11"/>
      <c r="B264" s="18"/>
      <c r="C264" s="18"/>
    </row>
    <row r="265" spans="1:4" x14ac:dyDescent="0.25">
      <c r="A265" s="11" t="s">
        <v>710</v>
      </c>
      <c r="B265" s="18" t="s">
        <v>711</v>
      </c>
      <c r="C265" s="18" t="s">
        <v>34</v>
      </c>
    </row>
    <row r="266" spans="1:4" x14ac:dyDescent="0.25">
      <c r="A266" s="11" t="s">
        <v>712</v>
      </c>
      <c r="B266" s="18" t="s">
        <v>713</v>
      </c>
      <c r="C266" s="18" t="s">
        <v>34</v>
      </c>
    </row>
    <row r="267" spans="1:4" x14ac:dyDescent="0.25">
      <c r="A267" s="11" t="s">
        <v>714</v>
      </c>
      <c r="B267" s="18" t="s">
        <v>715</v>
      </c>
      <c r="C267" s="18" t="s">
        <v>34</v>
      </c>
    </row>
    <row r="268" spans="1:4" x14ac:dyDescent="0.25">
      <c r="A268" s="11" t="s">
        <v>716</v>
      </c>
      <c r="B268" s="18" t="s">
        <v>717</v>
      </c>
      <c r="C268" s="18" t="s">
        <v>34</v>
      </c>
    </row>
    <row r="269" spans="1:4" x14ac:dyDescent="0.25">
      <c r="A269" s="11" t="s">
        <v>718</v>
      </c>
      <c r="B269" s="18" t="s">
        <v>719</v>
      </c>
      <c r="C269" s="18" t="s">
        <v>34</v>
      </c>
    </row>
    <row r="270" spans="1:4" x14ac:dyDescent="0.25">
      <c r="A270" s="11" t="s">
        <v>720</v>
      </c>
      <c r="B270" s="18" t="s">
        <v>721</v>
      </c>
      <c r="C270" s="18" t="s">
        <v>34</v>
      </c>
    </row>
    <row r="271" spans="1:4" x14ac:dyDescent="0.25">
      <c r="A271" s="11" t="s">
        <v>722</v>
      </c>
      <c r="B271" s="18" t="s">
        <v>723</v>
      </c>
      <c r="C271" s="18" t="s">
        <v>34</v>
      </c>
    </row>
    <row r="272" spans="1:4" x14ac:dyDescent="0.25">
      <c r="A272" s="11" t="s">
        <v>724</v>
      </c>
      <c r="B272" s="18" t="s">
        <v>725</v>
      </c>
      <c r="C272" s="18" t="s">
        <v>34</v>
      </c>
    </row>
    <row r="273" spans="1:3" x14ac:dyDescent="0.25">
      <c r="A273" s="11" t="s">
        <v>726</v>
      </c>
      <c r="B273" s="18" t="s">
        <v>727</v>
      </c>
      <c r="C273" s="18" t="s">
        <v>34</v>
      </c>
    </row>
    <row r="274" spans="1:3" x14ac:dyDescent="0.25">
      <c r="A274" s="11"/>
      <c r="B274" s="18"/>
      <c r="C274" s="18"/>
    </row>
    <row r="275" spans="1:3" x14ac:dyDescent="0.25">
      <c r="A275" s="11" t="s">
        <v>728</v>
      </c>
      <c r="B275" s="18" t="s">
        <v>729</v>
      </c>
      <c r="C275" s="18" t="s">
        <v>34</v>
      </c>
    </row>
    <row r="276" spans="1:3" x14ac:dyDescent="0.25">
      <c r="A276" s="11" t="s">
        <v>730</v>
      </c>
      <c r="B276" s="18" t="s">
        <v>731</v>
      </c>
      <c r="C276" s="18"/>
    </row>
    <row r="277" spans="1:3" x14ac:dyDescent="0.25">
      <c r="A277" s="11" t="s">
        <v>732</v>
      </c>
      <c r="B277" s="18" t="s">
        <v>733</v>
      </c>
      <c r="C277" s="18" t="s">
        <v>34</v>
      </c>
    </row>
    <row r="278" spans="1:3" x14ac:dyDescent="0.25">
      <c r="A278" s="11" t="s">
        <v>734</v>
      </c>
      <c r="B278" s="18" t="s">
        <v>735</v>
      </c>
      <c r="C278" s="18"/>
    </row>
    <row r="279" spans="1:3" x14ac:dyDescent="0.25">
      <c r="A279" s="11" t="s">
        <v>736</v>
      </c>
      <c r="B279" s="18" t="s">
        <v>737</v>
      </c>
      <c r="C279" s="18" t="s">
        <v>34</v>
      </c>
    </row>
    <row r="280" spans="1:3" x14ac:dyDescent="0.25">
      <c r="A280" s="11"/>
      <c r="B280" s="18"/>
      <c r="C280" s="18"/>
    </row>
    <row r="281" spans="1:3" x14ac:dyDescent="0.25">
      <c r="A281" s="11" t="s">
        <v>738</v>
      </c>
      <c r="B281" s="18" t="s">
        <v>739</v>
      </c>
      <c r="C281" s="18" t="s">
        <v>34</v>
      </c>
    </row>
    <row r="282" spans="1:3" x14ac:dyDescent="0.25">
      <c r="A282" s="11" t="s">
        <v>740</v>
      </c>
      <c r="B282" s="18" t="s">
        <v>741</v>
      </c>
      <c r="C282" s="18"/>
    </row>
    <row r="283" spans="1:3" x14ac:dyDescent="0.25">
      <c r="A283" s="11" t="s">
        <v>742</v>
      </c>
      <c r="B283" s="18" t="s">
        <v>743</v>
      </c>
      <c r="C283" s="18" t="s">
        <v>34</v>
      </c>
    </row>
    <row r="284" spans="1:3" x14ac:dyDescent="0.25">
      <c r="A284" s="11" t="s">
        <v>744</v>
      </c>
      <c r="B284" s="18" t="s">
        <v>745</v>
      </c>
      <c r="C284" s="18"/>
    </row>
    <row r="285" spans="1:3" x14ac:dyDescent="0.25">
      <c r="A285" s="11" t="s">
        <v>746</v>
      </c>
      <c r="B285" s="18" t="s">
        <v>747</v>
      </c>
      <c r="C285" s="18" t="s">
        <v>34</v>
      </c>
    </row>
    <row r="286" spans="1:3" x14ac:dyDescent="0.25">
      <c r="A286" s="11"/>
      <c r="B286" s="18"/>
      <c r="C286" s="18"/>
    </row>
    <row r="287" spans="1:3" x14ac:dyDescent="0.25">
      <c r="A287" s="11" t="s">
        <v>748</v>
      </c>
      <c r="B287" s="18" t="s">
        <v>749</v>
      </c>
      <c r="C287" s="18" t="s">
        <v>34</v>
      </c>
    </row>
    <row r="288" spans="1:3" x14ac:dyDescent="0.25">
      <c r="A288" s="11" t="s">
        <v>750</v>
      </c>
      <c r="B288" s="18" t="s">
        <v>751</v>
      </c>
      <c r="C288" s="18"/>
    </row>
    <row r="289" spans="1:4" x14ac:dyDescent="0.25">
      <c r="A289" s="11" t="s">
        <v>752</v>
      </c>
      <c r="B289" s="18" t="s">
        <v>753</v>
      </c>
      <c r="C289" s="18" t="s">
        <v>34</v>
      </c>
    </row>
    <row r="290" spans="1:4" x14ac:dyDescent="0.25">
      <c r="A290" s="11" t="s">
        <v>754</v>
      </c>
      <c r="B290" s="18" t="s">
        <v>755</v>
      </c>
      <c r="C290" s="18"/>
    </row>
    <row r="291" spans="1:4" x14ac:dyDescent="0.25">
      <c r="A291" s="11" t="s">
        <v>756</v>
      </c>
      <c r="B291" s="18" t="s">
        <v>757</v>
      </c>
      <c r="C291" s="18" t="s">
        <v>34</v>
      </c>
    </row>
    <row r="292" spans="1:4" x14ac:dyDescent="0.25">
      <c r="A292" s="11"/>
      <c r="B292" s="18"/>
      <c r="C292" s="18"/>
    </row>
    <row r="293" spans="1:4" x14ac:dyDescent="0.25">
      <c r="A293" s="11" t="s">
        <v>758</v>
      </c>
      <c r="B293" s="18" t="s">
        <v>759</v>
      </c>
      <c r="C293" s="18" t="s">
        <v>34</v>
      </c>
    </row>
    <row r="294" spans="1:4" x14ac:dyDescent="0.25">
      <c r="A294" s="11" t="s">
        <v>760</v>
      </c>
      <c r="B294" s="18" t="s">
        <v>761</v>
      </c>
      <c r="C294" s="18"/>
    </row>
    <row r="295" spans="1:4" x14ac:dyDescent="0.25">
      <c r="A295" s="11" t="s">
        <v>762</v>
      </c>
      <c r="B295" s="18" t="s">
        <v>763</v>
      </c>
      <c r="C295" s="18" t="s">
        <v>34</v>
      </c>
    </row>
    <row r="296" spans="1:4" x14ac:dyDescent="0.25">
      <c r="A296" s="11" t="s">
        <v>764</v>
      </c>
      <c r="B296" s="18" t="s">
        <v>765</v>
      </c>
      <c r="C296" s="18"/>
    </row>
    <row r="297" spans="1:4" x14ac:dyDescent="0.25">
      <c r="A297" s="11" t="s">
        <v>766</v>
      </c>
      <c r="B297" s="18" t="s">
        <v>767</v>
      </c>
      <c r="C297" s="18" t="s">
        <v>34</v>
      </c>
    </row>
    <row r="298" spans="1:4" x14ac:dyDescent="0.25">
      <c r="A298" s="11" t="s">
        <v>768</v>
      </c>
      <c r="B298" s="18" t="s">
        <v>769</v>
      </c>
      <c r="C298" s="18"/>
    </row>
    <row r="299" spans="1:4" x14ac:dyDescent="0.25">
      <c r="A299" s="11" t="s">
        <v>770</v>
      </c>
      <c r="B299" s="18" t="s">
        <v>771</v>
      </c>
      <c r="C299" s="18" t="s">
        <v>34</v>
      </c>
    </row>
    <row r="300" spans="1:4" x14ac:dyDescent="0.25">
      <c r="A300" s="11" t="s">
        <v>772</v>
      </c>
      <c r="B300" s="18" t="s">
        <v>773</v>
      </c>
      <c r="C300" s="18"/>
    </row>
    <row r="301" spans="1:4" x14ac:dyDescent="0.25">
      <c r="A301" s="11"/>
      <c r="B301" s="18"/>
      <c r="C301" s="18"/>
    </row>
    <row r="302" spans="1:4" ht="21" x14ac:dyDescent="0.35">
      <c r="A302" s="13" t="s">
        <v>774</v>
      </c>
      <c r="B302" s="103"/>
      <c r="C302" s="103"/>
      <c r="D302" s="103" t="s">
        <v>1165</v>
      </c>
    </row>
    <row r="303" spans="1:4" x14ac:dyDescent="0.25">
      <c r="A303" s="11"/>
      <c r="B303" s="18"/>
      <c r="C303" s="18"/>
    </row>
    <row r="304" spans="1:4" x14ac:dyDescent="0.25">
      <c r="A304" s="11" t="s">
        <v>775</v>
      </c>
      <c r="B304" s="18" t="s">
        <v>776</v>
      </c>
      <c r="C304" s="18" t="s">
        <v>35</v>
      </c>
    </row>
    <row r="305" spans="1:3" x14ac:dyDescent="0.25">
      <c r="A305" s="11" t="s">
        <v>777</v>
      </c>
      <c r="B305" s="18" t="s">
        <v>778</v>
      </c>
      <c r="C305" s="18"/>
    </row>
    <row r="306" spans="1:3" x14ac:dyDescent="0.25">
      <c r="A306" s="11" t="s">
        <v>779</v>
      </c>
      <c r="B306" s="18" t="s">
        <v>780</v>
      </c>
      <c r="C306" s="18"/>
    </row>
    <row r="307" spans="1:3" x14ac:dyDescent="0.25">
      <c r="A307" s="11" t="s">
        <v>781</v>
      </c>
      <c r="B307" s="18" t="s">
        <v>782</v>
      </c>
      <c r="C307" s="18"/>
    </row>
    <row r="308" spans="1:3" x14ac:dyDescent="0.25">
      <c r="A308" s="11" t="s">
        <v>783</v>
      </c>
      <c r="B308" s="18" t="s">
        <v>784</v>
      </c>
      <c r="C308" s="18" t="s">
        <v>34</v>
      </c>
    </row>
    <row r="309" spans="1:3" x14ac:dyDescent="0.25">
      <c r="A309" s="11" t="s">
        <v>785</v>
      </c>
      <c r="B309" s="18" t="s">
        <v>786</v>
      </c>
      <c r="C309" s="18" t="s">
        <v>35</v>
      </c>
    </row>
    <row r="310" spans="1:3" x14ac:dyDescent="0.25">
      <c r="A310" s="11" t="s">
        <v>787</v>
      </c>
      <c r="B310" s="18" t="s">
        <v>788</v>
      </c>
      <c r="C310" s="18"/>
    </row>
    <row r="311" spans="1:3" x14ac:dyDescent="0.25">
      <c r="A311" s="11" t="s">
        <v>789</v>
      </c>
      <c r="B311" s="18" t="s">
        <v>790</v>
      </c>
      <c r="C311" s="18"/>
    </row>
    <row r="312" spans="1:3" x14ac:dyDescent="0.25">
      <c r="A312" s="11" t="s">
        <v>791</v>
      </c>
      <c r="B312" s="18" t="s">
        <v>792</v>
      </c>
      <c r="C312" s="18"/>
    </row>
    <row r="313" spans="1:3" x14ac:dyDescent="0.25">
      <c r="A313" s="11" t="s">
        <v>793</v>
      </c>
      <c r="B313" s="18" t="s">
        <v>794</v>
      </c>
      <c r="C313" s="18"/>
    </row>
    <row r="314" spans="1:3" x14ac:dyDescent="0.25">
      <c r="A314" s="11" t="s">
        <v>795</v>
      </c>
      <c r="B314" s="18" t="s">
        <v>796</v>
      </c>
      <c r="C314" s="18"/>
    </row>
    <row r="315" spans="1:3" x14ac:dyDescent="0.25">
      <c r="A315" s="11" t="s">
        <v>797</v>
      </c>
      <c r="B315" s="18" t="s">
        <v>798</v>
      </c>
      <c r="C315" s="18"/>
    </row>
    <row r="316" spans="1:3" x14ac:dyDescent="0.25">
      <c r="A316" s="11" t="s">
        <v>799</v>
      </c>
      <c r="B316" s="18" t="s">
        <v>800</v>
      </c>
      <c r="C316" s="18" t="s">
        <v>34</v>
      </c>
    </row>
    <row r="317" spans="1:3" x14ac:dyDescent="0.25">
      <c r="A317" s="11" t="s">
        <v>801</v>
      </c>
      <c r="B317" s="18" t="s">
        <v>802</v>
      </c>
      <c r="C317" s="18" t="s">
        <v>34</v>
      </c>
    </row>
    <row r="318" spans="1:3" x14ac:dyDescent="0.25">
      <c r="A318" s="11" t="s">
        <v>803</v>
      </c>
      <c r="B318" s="18" t="s">
        <v>804</v>
      </c>
      <c r="C318" s="18" t="s">
        <v>35</v>
      </c>
    </row>
    <row r="319" spans="1:3" x14ac:dyDescent="0.25">
      <c r="A319" s="11" t="s">
        <v>805</v>
      </c>
      <c r="B319" s="18" t="s">
        <v>806</v>
      </c>
      <c r="C319" s="18"/>
    </row>
    <row r="320" spans="1:3" x14ac:dyDescent="0.25">
      <c r="A320" s="11" t="s">
        <v>807</v>
      </c>
      <c r="B320" s="18" t="s">
        <v>808</v>
      </c>
      <c r="C320" s="18"/>
    </row>
    <row r="321" spans="1:3" x14ac:dyDescent="0.25">
      <c r="A321" s="11" t="s">
        <v>809</v>
      </c>
      <c r="B321" s="18" t="s">
        <v>810</v>
      </c>
      <c r="C321" s="18" t="s">
        <v>34</v>
      </c>
    </row>
    <row r="322" spans="1:3" x14ac:dyDescent="0.25">
      <c r="A322" s="11" t="s">
        <v>811</v>
      </c>
      <c r="B322" s="18" t="s">
        <v>812</v>
      </c>
      <c r="C322" s="18"/>
    </row>
    <row r="323" spans="1:3" x14ac:dyDescent="0.25">
      <c r="A323" s="11"/>
      <c r="B323" s="18"/>
      <c r="C323" s="18"/>
    </row>
    <row r="324" spans="1:3" x14ac:dyDescent="0.25">
      <c r="A324" s="11" t="s">
        <v>813</v>
      </c>
      <c r="B324" s="18" t="s">
        <v>814</v>
      </c>
      <c r="C324" s="18" t="s">
        <v>35</v>
      </c>
    </row>
    <row r="325" spans="1:3" x14ac:dyDescent="0.25">
      <c r="A325" s="11" t="s">
        <v>815</v>
      </c>
      <c r="B325" s="18" t="s">
        <v>816</v>
      </c>
      <c r="C325" s="18"/>
    </row>
    <row r="326" spans="1:3" x14ac:dyDescent="0.25">
      <c r="A326" s="11" t="s">
        <v>817</v>
      </c>
      <c r="B326" s="18" t="s">
        <v>818</v>
      </c>
      <c r="C326" s="18"/>
    </row>
    <row r="327" spans="1:3" x14ac:dyDescent="0.25">
      <c r="A327" s="11"/>
      <c r="B327" s="18"/>
      <c r="C327" s="18"/>
    </row>
    <row r="328" spans="1:3" x14ac:dyDescent="0.25">
      <c r="A328" s="11" t="s">
        <v>819</v>
      </c>
      <c r="B328" s="18" t="s">
        <v>820</v>
      </c>
      <c r="C328" s="18" t="s">
        <v>34</v>
      </c>
    </row>
    <row r="329" spans="1:3" x14ac:dyDescent="0.25">
      <c r="A329" s="11" t="s">
        <v>821</v>
      </c>
      <c r="B329" s="18" t="s">
        <v>822</v>
      </c>
      <c r="C329" s="18"/>
    </row>
    <row r="330" spans="1:3" x14ac:dyDescent="0.25">
      <c r="A330" s="11"/>
      <c r="B330" s="18"/>
      <c r="C330" s="18"/>
    </row>
    <row r="331" spans="1:3" x14ac:dyDescent="0.25">
      <c r="A331" s="11" t="s">
        <v>823</v>
      </c>
      <c r="B331" s="18" t="s">
        <v>824</v>
      </c>
      <c r="C331" s="18" t="s">
        <v>34</v>
      </c>
    </row>
    <row r="332" spans="1:3" x14ac:dyDescent="0.25">
      <c r="A332" s="11" t="s">
        <v>825</v>
      </c>
      <c r="B332" s="18" t="s">
        <v>826</v>
      </c>
      <c r="C332" s="18"/>
    </row>
    <row r="333" spans="1:3" x14ac:dyDescent="0.25">
      <c r="A333" s="11" t="s">
        <v>827</v>
      </c>
      <c r="B333" s="18" t="s">
        <v>828</v>
      </c>
      <c r="C333" s="18" t="s">
        <v>35</v>
      </c>
    </row>
    <row r="334" spans="1:3" x14ac:dyDescent="0.25">
      <c r="A334" s="11" t="s">
        <v>829</v>
      </c>
      <c r="B334" s="18" t="s">
        <v>830</v>
      </c>
      <c r="C334" s="18"/>
    </row>
    <row r="335" spans="1:3" x14ac:dyDescent="0.25">
      <c r="A335" s="11" t="s">
        <v>831</v>
      </c>
      <c r="B335" s="18" t="s">
        <v>832</v>
      </c>
      <c r="C335" s="18"/>
    </row>
    <row r="336" spans="1:3" x14ac:dyDescent="0.25">
      <c r="A336" s="11" t="s">
        <v>833</v>
      </c>
      <c r="B336" s="18" t="s">
        <v>834</v>
      </c>
      <c r="C336" s="18"/>
    </row>
    <row r="337" spans="1:4" x14ac:dyDescent="0.25">
      <c r="A337" s="11" t="s">
        <v>835</v>
      </c>
      <c r="B337" s="18" t="s">
        <v>836</v>
      </c>
      <c r="C337" s="18"/>
    </row>
    <row r="338" spans="1:4" x14ac:dyDescent="0.25">
      <c r="A338" s="11"/>
      <c r="B338" s="18"/>
      <c r="C338" s="18"/>
    </row>
    <row r="339" spans="1:4" ht="21" x14ac:dyDescent="0.35">
      <c r="A339" s="13" t="s">
        <v>837</v>
      </c>
      <c r="B339" s="103"/>
      <c r="C339" s="103"/>
      <c r="D339" s="103" t="s">
        <v>1166</v>
      </c>
    </row>
    <row r="340" spans="1:4" x14ac:dyDescent="0.25">
      <c r="A340" s="11" t="s">
        <v>838</v>
      </c>
      <c r="B340" s="18" t="s">
        <v>839</v>
      </c>
      <c r="C340" s="18" t="s">
        <v>34</v>
      </c>
    </row>
    <row r="341" spans="1:4" x14ac:dyDescent="0.25">
      <c r="A341" s="11" t="s">
        <v>840</v>
      </c>
      <c r="B341" s="18" t="s">
        <v>841</v>
      </c>
      <c r="C341" s="18"/>
    </row>
    <row r="342" spans="1:4" x14ac:dyDescent="0.25">
      <c r="A342" s="11" t="s">
        <v>842</v>
      </c>
      <c r="B342" s="18" t="s">
        <v>843</v>
      </c>
      <c r="C342" s="18" t="s">
        <v>34</v>
      </c>
    </row>
    <row r="343" spans="1:4" x14ac:dyDescent="0.25">
      <c r="A343" s="11" t="s">
        <v>844</v>
      </c>
      <c r="B343" s="18" t="s">
        <v>845</v>
      </c>
      <c r="C343" s="18" t="s">
        <v>34</v>
      </c>
    </row>
    <row r="344" spans="1:4" x14ac:dyDescent="0.25">
      <c r="A344" s="11" t="s">
        <v>846</v>
      </c>
      <c r="B344" s="18" t="s">
        <v>847</v>
      </c>
      <c r="C344" s="18" t="s">
        <v>34</v>
      </c>
    </row>
    <row r="345" spans="1:4" x14ac:dyDescent="0.25">
      <c r="A345" s="11" t="s">
        <v>848</v>
      </c>
      <c r="B345" s="18" t="s">
        <v>849</v>
      </c>
      <c r="C345" s="18" t="s">
        <v>34</v>
      </c>
    </row>
    <row r="346" spans="1:4" x14ac:dyDescent="0.25">
      <c r="A346" s="11" t="s">
        <v>850</v>
      </c>
      <c r="B346" s="18" t="s">
        <v>851</v>
      </c>
      <c r="C346" s="18" t="s">
        <v>34</v>
      </c>
    </row>
    <row r="347" spans="1:4" x14ac:dyDescent="0.25">
      <c r="A347" s="11" t="s">
        <v>852</v>
      </c>
      <c r="B347" s="18" t="s">
        <v>853</v>
      </c>
      <c r="C347" s="18" t="s">
        <v>34</v>
      </c>
    </row>
    <row r="348" spans="1:4" x14ac:dyDescent="0.25">
      <c r="A348" s="11" t="s">
        <v>854</v>
      </c>
      <c r="B348" s="18" t="s">
        <v>855</v>
      </c>
      <c r="C348" s="18" t="s">
        <v>34</v>
      </c>
    </row>
    <row r="349" spans="1:4" x14ac:dyDescent="0.25">
      <c r="A349" s="11" t="s">
        <v>856</v>
      </c>
      <c r="B349" s="18" t="s">
        <v>857</v>
      </c>
      <c r="C349" s="18" t="s">
        <v>34</v>
      </c>
    </row>
    <row r="350" spans="1:4" x14ac:dyDescent="0.25">
      <c r="A350" s="11" t="s">
        <v>858</v>
      </c>
      <c r="B350" s="18" t="s">
        <v>859</v>
      </c>
      <c r="C350" s="18" t="s">
        <v>34</v>
      </c>
    </row>
    <row r="351" spans="1:4" x14ac:dyDescent="0.25">
      <c r="A351" s="11" t="s">
        <v>860</v>
      </c>
      <c r="B351" s="18" t="s">
        <v>861</v>
      </c>
      <c r="C351" s="18" t="s">
        <v>34</v>
      </c>
    </row>
    <row r="352" spans="1:4" x14ac:dyDescent="0.25">
      <c r="A352" s="11" t="s">
        <v>862</v>
      </c>
      <c r="B352" s="18" t="s">
        <v>863</v>
      </c>
      <c r="C352" s="18" t="s">
        <v>34</v>
      </c>
    </row>
    <row r="353" spans="1:3" x14ac:dyDescent="0.25">
      <c r="A353" s="11" t="s">
        <v>864</v>
      </c>
      <c r="B353" s="18" t="s">
        <v>865</v>
      </c>
      <c r="C353" s="18"/>
    </row>
    <row r="354" spans="1:3" x14ac:dyDescent="0.25">
      <c r="A354" s="11" t="s">
        <v>866</v>
      </c>
      <c r="B354" s="18" t="s">
        <v>867</v>
      </c>
      <c r="C354" s="18" t="s">
        <v>34</v>
      </c>
    </row>
    <row r="355" spans="1:3" x14ac:dyDescent="0.25">
      <c r="A355" s="11" t="s">
        <v>868</v>
      </c>
      <c r="B355" s="18" t="s">
        <v>869</v>
      </c>
      <c r="C355" s="18"/>
    </row>
    <row r="356" spans="1:3" x14ac:dyDescent="0.25">
      <c r="A356" s="11" t="s">
        <v>870</v>
      </c>
      <c r="B356" s="18" t="s">
        <v>871</v>
      </c>
      <c r="C356" s="18" t="s">
        <v>35</v>
      </c>
    </row>
    <row r="357" spans="1:3" x14ac:dyDescent="0.25">
      <c r="A357" s="11" t="s">
        <v>872</v>
      </c>
      <c r="B357" s="18" t="s">
        <v>873</v>
      </c>
      <c r="C357" s="18"/>
    </row>
    <row r="358" spans="1:3" x14ac:dyDescent="0.25">
      <c r="A358" s="11" t="s">
        <v>874</v>
      </c>
      <c r="B358" s="18" t="s">
        <v>875</v>
      </c>
      <c r="C358" s="18"/>
    </row>
    <row r="359" spans="1:3" x14ac:dyDescent="0.25">
      <c r="A359" s="11" t="s">
        <v>876</v>
      </c>
      <c r="B359" s="18" t="s">
        <v>877</v>
      </c>
      <c r="C359" s="18"/>
    </row>
    <row r="360" spans="1:3" x14ac:dyDescent="0.25">
      <c r="A360" s="11"/>
      <c r="B360" s="18"/>
      <c r="C360" s="18"/>
    </row>
    <row r="361" spans="1:3" x14ac:dyDescent="0.25">
      <c r="A361" s="11" t="s">
        <v>878</v>
      </c>
      <c r="B361" s="18" t="s">
        <v>879</v>
      </c>
      <c r="C361" s="18" t="s">
        <v>35</v>
      </c>
    </row>
    <row r="362" spans="1:3" x14ac:dyDescent="0.25">
      <c r="A362" s="11" t="s">
        <v>880</v>
      </c>
      <c r="B362" s="18" t="s">
        <v>881</v>
      </c>
      <c r="C362" s="18"/>
    </row>
    <row r="363" spans="1:3" x14ac:dyDescent="0.25">
      <c r="A363" s="11" t="s">
        <v>882</v>
      </c>
      <c r="B363" s="18" t="s">
        <v>883</v>
      </c>
      <c r="C363" s="18"/>
    </row>
    <row r="364" spans="1:3" x14ac:dyDescent="0.25">
      <c r="A364" s="11" t="s">
        <v>884</v>
      </c>
      <c r="B364" s="18" t="s">
        <v>885</v>
      </c>
      <c r="C364" s="18"/>
    </row>
    <row r="365" spans="1:3" x14ac:dyDescent="0.25">
      <c r="A365" s="11"/>
      <c r="B365" s="18"/>
      <c r="C365" s="18"/>
    </row>
    <row r="366" spans="1:3" x14ac:dyDescent="0.25">
      <c r="A366" s="11" t="s">
        <v>886</v>
      </c>
      <c r="B366" s="18" t="s">
        <v>887</v>
      </c>
      <c r="C366" s="18" t="s">
        <v>35</v>
      </c>
    </row>
    <row r="367" spans="1:3" x14ac:dyDescent="0.25">
      <c r="A367" s="11" t="s">
        <v>888</v>
      </c>
      <c r="B367" s="18" t="s">
        <v>889</v>
      </c>
      <c r="C367" s="18"/>
    </row>
    <row r="368" spans="1:3" x14ac:dyDescent="0.25">
      <c r="A368" s="11" t="s">
        <v>890</v>
      </c>
      <c r="B368" s="18" t="s">
        <v>891</v>
      </c>
      <c r="C368" s="18"/>
    </row>
    <row r="369" spans="1:3" x14ac:dyDescent="0.25">
      <c r="A369" s="11" t="s">
        <v>892</v>
      </c>
      <c r="B369" s="18" t="s">
        <v>893</v>
      </c>
      <c r="C369" s="18"/>
    </row>
    <row r="370" spans="1:3" x14ac:dyDescent="0.25">
      <c r="A370" s="11"/>
      <c r="B370" s="18"/>
      <c r="C370" s="18"/>
    </row>
    <row r="371" spans="1:3" x14ac:dyDescent="0.25">
      <c r="A371" s="11" t="s">
        <v>894</v>
      </c>
      <c r="B371" s="18" t="s">
        <v>895</v>
      </c>
      <c r="C371" s="18" t="s">
        <v>35</v>
      </c>
    </row>
    <row r="372" spans="1:3" x14ac:dyDescent="0.25">
      <c r="A372" s="11" t="s">
        <v>896</v>
      </c>
      <c r="B372" s="18" t="s">
        <v>897</v>
      </c>
      <c r="C372" s="18"/>
    </row>
    <row r="373" spans="1:3" x14ac:dyDescent="0.25">
      <c r="A373" s="11" t="s">
        <v>898</v>
      </c>
      <c r="B373" s="18" t="s">
        <v>899</v>
      </c>
      <c r="C373" s="18"/>
    </row>
    <row r="374" spans="1:3" x14ac:dyDescent="0.25">
      <c r="A374" s="11" t="s">
        <v>900</v>
      </c>
      <c r="B374" s="18" t="s">
        <v>901</v>
      </c>
      <c r="C374" s="18"/>
    </row>
    <row r="375" spans="1:3" x14ac:dyDescent="0.25">
      <c r="A375" s="11"/>
      <c r="B375" s="18"/>
      <c r="C375" s="18"/>
    </row>
    <row r="376" spans="1:3" x14ac:dyDescent="0.25">
      <c r="A376" s="11" t="s">
        <v>902</v>
      </c>
      <c r="B376" s="18" t="s">
        <v>903</v>
      </c>
      <c r="C376" s="18" t="s">
        <v>35</v>
      </c>
    </row>
    <row r="377" spans="1:3" x14ac:dyDescent="0.25">
      <c r="A377" s="11" t="s">
        <v>904</v>
      </c>
      <c r="B377" s="18" t="s">
        <v>905</v>
      </c>
      <c r="C377" s="18"/>
    </row>
    <row r="378" spans="1:3" x14ac:dyDescent="0.25">
      <c r="A378" s="11" t="s">
        <v>906</v>
      </c>
      <c r="B378" s="18" t="s">
        <v>907</v>
      </c>
      <c r="C378" s="18"/>
    </row>
    <row r="379" spans="1:3" x14ac:dyDescent="0.25">
      <c r="A379" s="11" t="s">
        <v>908</v>
      </c>
      <c r="B379" s="18" t="s">
        <v>909</v>
      </c>
      <c r="C379" s="18"/>
    </row>
    <row r="380" spans="1:3" x14ac:dyDescent="0.25">
      <c r="A380" s="11"/>
      <c r="B380" s="18"/>
      <c r="C380" s="18"/>
    </row>
    <row r="381" spans="1:3" x14ac:dyDescent="0.25">
      <c r="A381" s="11" t="s">
        <v>910</v>
      </c>
      <c r="B381" s="18" t="s">
        <v>911</v>
      </c>
      <c r="C381" s="18" t="s">
        <v>35</v>
      </c>
    </row>
    <row r="382" spans="1:3" x14ac:dyDescent="0.25">
      <c r="A382" s="11" t="s">
        <v>912</v>
      </c>
      <c r="B382" s="18" t="s">
        <v>913</v>
      </c>
      <c r="C382" s="18"/>
    </row>
    <row r="383" spans="1:3" x14ac:dyDescent="0.25">
      <c r="A383" s="11" t="s">
        <v>914</v>
      </c>
      <c r="B383" s="18" t="s">
        <v>915</v>
      </c>
      <c r="C383" s="18"/>
    </row>
    <row r="384" spans="1:3" x14ac:dyDescent="0.25">
      <c r="A384" s="11" t="s">
        <v>916</v>
      </c>
      <c r="B384" s="18" t="s">
        <v>917</v>
      </c>
      <c r="C384" s="18"/>
    </row>
    <row r="385" spans="1:3" x14ac:dyDescent="0.25">
      <c r="A385" s="11"/>
      <c r="B385" s="18"/>
      <c r="C385" s="18"/>
    </row>
    <row r="386" spans="1:3" x14ac:dyDescent="0.25">
      <c r="A386" s="11" t="s">
        <v>918</v>
      </c>
      <c r="B386" s="18" t="s">
        <v>919</v>
      </c>
      <c r="C386" s="18" t="s">
        <v>35</v>
      </c>
    </row>
    <row r="387" spans="1:3" x14ac:dyDescent="0.25">
      <c r="A387" s="11" t="s">
        <v>920</v>
      </c>
      <c r="B387" s="18" t="s">
        <v>921</v>
      </c>
      <c r="C387" s="18"/>
    </row>
    <row r="388" spans="1:3" x14ac:dyDescent="0.25">
      <c r="A388" s="11" t="s">
        <v>922</v>
      </c>
      <c r="B388" s="18" t="s">
        <v>923</v>
      </c>
      <c r="C388" s="18"/>
    </row>
    <row r="389" spans="1:3" x14ac:dyDescent="0.25">
      <c r="A389" s="11" t="s">
        <v>924</v>
      </c>
      <c r="B389" s="18" t="s">
        <v>925</v>
      </c>
      <c r="C389" s="18"/>
    </row>
    <row r="390" spans="1:3" x14ac:dyDescent="0.25">
      <c r="A390" s="11"/>
      <c r="B390" s="18"/>
      <c r="C390" s="18"/>
    </row>
    <row r="391" spans="1:3" x14ac:dyDescent="0.25">
      <c r="A391" s="11" t="s">
        <v>926</v>
      </c>
      <c r="B391" s="18" t="s">
        <v>927</v>
      </c>
      <c r="C391" s="18" t="s">
        <v>35</v>
      </c>
    </row>
    <row r="392" spans="1:3" x14ac:dyDescent="0.25">
      <c r="A392" s="11" t="s">
        <v>928</v>
      </c>
      <c r="B392" s="18" t="s">
        <v>929</v>
      </c>
      <c r="C392" s="18"/>
    </row>
    <row r="393" spans="1:3" x14ac:dyDescent="0.25">
      <c r="A393" s="11" t="s">
        <v>930</v>
      </c>
      <c r="B393" s="18" t="s">
        <v>931</v>
      </c>
      <c r="C393" s="18"/>
    </row>
    <row r="394" spans="1:3" x14ac:dyDescent="0.25">
      <c r="A394" s="11" t="s">
        <v>932</v>
      </c>
      <c r="B394" s="18" t="s">
        <v>933</v>
      </c>
      <c r="C394" s="18"/>
    </row>
    <row r="395" spans="1:3" x14ac:dyDescent="0.25">
      <c r="A395" s="11"/>
      <c r="B395" s="18"/>
      <c r="C395" s="18"/>
    </row>
    <row r="396" spans="1:3" x14ac:dyDescent="0.25">
      <c r="A396" s="11" t="s">
        <v>934</v>
      </c>
      <c r="B396" s="18" t="s">
        <v>935</v>
      </c>
      <c r="C396" s="18" t="s">
        <v>35</v>
      </c>
    </row>
    <row r="397" spans="1:3" x14ac:dyDescent="0.25">
      <c r="A397" s="11" t="s">
        <v>936</v>
      </c>
      <c r="B397" s="18" t="s">
        <v>937</v>
      </c>
      <c r="C397" s="18"/>
    </row>
    <row r="398" spans="1:3" x14ac:dyDescent="0.25">
      <c r="A398" s="11" t="s">
        <v>938</v>
      </c>
      <c r="B398" s="18" t="s">
        <v>939</v>
      </c>
      <c r="C398" s="18"/>
    </row>
    <row r="399" spans="1:3" x14ac:dyDescent="0.25">
      <c r="A399" s="11" t="s">
        <v>940</v>
      </c>
      <c r="B399" s="18" t="s">
        <v>941</v>
      </c>
      <c r="C399" s="18"/>
    </row>
    <row r="400" spans="1:3" x14ac:dyDescent="0.25">
      <c r="A400" s="11"/>
      <c r="B400" s="18"/>
      <c r="C400" s="18"/>
    </row>
    <row r="401" spans="1:3" x14ac:dyDescent="0.25">
      <c r="A401" s="11" t="s">
        <v>942</v>
      </c>
      <c r="B401" s="18" t="s">
        <v>943</v>
      </c>
      <c r="C401" s="18" t="s">
        <v>35</v>
      </c>
    </row>
    <row r="402" spans="1:3" x14ac:dyDescent="0.25">
      <c r="A402" s="11" t="s">
        <v>944</v>
      </c>
      <c r="B402" s="18" t="s">
        <v>945</v>
      </c>
      <c r="C402" s="18"/>
    </row>
    <row r="403" spans="1:3" x14ac:dyDescent="0.25">
      <c r="A403" s="11" t="s">
        <v>946</v>
      </c>
      <c r="B403" s="18" t="s">
        <v>947</v>
      </c>
      <c r="C403" s="18"/>
    </row>
    <row r="404" spans="1:3" x14ac:dyDescent="0.25">
      <c r="A404" s="11" t="s">
        <v>948</v>
      </c>
      <c r="B404" s="18" t="s">
        <v>949</v>
      </c>
      <c r="C404" s="18"/>
    </row>
    <row r="405" spans="1:3" x14ac:dyDescent="0.25">
      <c r="A405" s="11"/>
      <c r="B405" s="18"/>
      <c r="C405" s="18"/>
    </row>
    <row r="406" spans="1:3" x14ac:dyDescent="0.25">
      <c r="A406" s="11" t="s">
        <v>950</v>
      </c>
      <c r="B406" s="18" t="s">
        <v>951</v>
      </c>
      <c r="C406" s="18" t="s">
        <v>34</v>
      </c>
    </row>
    <row r="407" spans="1:3" x14ac:dyDescent="0.25">
      <c r="A407" s="11" t="s">
        <v>952</v>
      </c>
      <c r="B407" s="18" t="s">
        <v>953</v>
      </c>
      <c r="C407" s="18"/>
    </row>
    <row r="408" spans="1:3" x14ac:dyDescent="0.25">
      <c r="A408" s="11"/>
      <c r="B408" s="18"/>
      <c r="C408" s="18"/>
    </row>
    <row r="409" spans="1:3" x14ac:dyDescent="0.25">
      <c r="A409" s="11" t="s">
        <v>954</v>
      </c>
      <c r="B409" s="18" t="s">
        <v>955</v>
      </c>
      <c r="C409" s="18" t="s">
        <v>35</v>
      </c>
    </row>
    <row r="410" spans="1:3" x14ac:dyDescent="0.25">
      <c r="A410" s="11" t="s">
        <v>956</v>
      </c>
      <c r="B410" s="18" t="s">
        <v>957</v>
      </c>
      <c r="C410" s="18"/>
    </row>
    <row r="411" spans="1:3" x14ac:dyDescent="0.25">
      <c r="A411" s="11" t="s">
        <v>958</v>
      </c>
      <c r="B411" s="18" t="s">
        <v>959</v>
      </c>
      <c r="C411" s="18"/>
    </row>
    <row r="412" spans="1:3" x14ac:dyDescent="0.25">
      <c r="A412" s="11" t="s">
        <v>960</v>
      </c>
      <c r="B412" s="18" t="s">
        <v>961</v>
      </c>
      <c r="C412" s="18"/>
    </row>
    <row r="413" spans="1:3" x14ac:dyDescent="0.25">
      <c r="A413" s="11"/>
      <c r="B413" s="18"/>
      <c r="C413" s="18"/>
    </row>
    <row r="414" spans="1:3" x14ac:dyDescent="0.25">
      <c r="A414" s="11" t="s">
        <v>962</v>
      </c>
      <c r="B414" s="18" t="s">
        <v>963</v>
      </c>
      <c r="C414" s="18" t="s">
        <v>34</v>
      </c>
    </row>
    <row r="415" spans="1:3" x14ac:dyDescent="0.25">
      <c r="A415" s="11" t="s">
        <v>964</v>
      </c>
      <c r="B415" s="18" t="s">
        <v>965</v>
      </c>
      <c r="C415" s="18"/>
    </row>
    <row r="416" spans="1:3" x14ac:dyDescent="0.25">
      <c r="A416" s="11" t="s">
        <v>966</v>
      </c>
      <c r="B416" s="18" t="s">
        <v>967</v>
      </c>
      <c r="C416" s="18" t="s">
        <v>35</v>
      </c>
    </row>
    <row r="417" spans="1:4" x14ac:dyDescent="0.25">
      <c r="A417" s="11" t="s">
        <v>968</v>
      </c>
      <c r="B417" s="18" t="s">
        <v>969</v>
      </c>
      <c r="C417" s="18"/>
    </row>
    <row r="418" spans="1:4" x14ac:dyDescent="0.25">
      <c r="A418" s="11" t="s">
        <v>970</v>
      </c>
      <c r="B418" s="18" t="s">
        <v>971</v>
      </c>
      <c r="C418" s="18"/>
    </row>
    <row r="419" spans="1:4" x14ac:dyDescent="0.25">
      <c r="A419" s="11" t="s">
        <v>972</v>
      </c>
      <c r="B419" s="18" t="s">
        <v>973</v>
      </c>
      <c r="C419" s="18"/>
    </row>
    <row r="420" spans="1:4" x14ac:dyDescent="0.25">
      <c r="A420" s="11" t="s">
        <v>974</v>
      </c>
      <c r="B420" s="18" t="s">
        <v>975</v>
      </c>
      <c r="C420" s="18"/>
    </row>
    <row r="421" spans="1:4" x14ac:dyDescent="0.25">
      <c r="A421" s="11" t="s">
        <v>976</v>
      </c>
      <c r="B421" s="18" t="s">
        <v>977</v>
      </c>
      <c r="C421" s="18" t="s">
        <v>36</v>
      </c>
    </row>
    <row r="422" spans="1:4" x14ac:dyDescent="0.25">
      <c r="A422" s="11" t="s">
        <v>978</v>
      </c>
      <c r="B422" s="18" t="s">
        <v>979</v>
      </c>
      <c r="C422" s="18" t="s">
        <v>34</v>
      </c>
    </row>
    <row r="423" spans="1:4" x14ac:dyDescent="0.25">
      <c r="A423" s="11" t="s">
        <v>980</v>
      </c>
      <c r="B423" s="18" t="s">
        <v>981</v>
      </c>
      <c r="C423" s="18"/>
    </row>
    <row r="424" spans="1:4" x14ac:dyDescent="0.25">
      <c r="A424" s="11"/>
      <c r="B424" s="18"/>
      <c r="C424" s="18"/>
    </row>
    <row r="425" spans="1:4" ht="21" x14ac:dyDescent="0.35">
      <c r="A425" s="13" t="s">
        <v>982</v>
      </c>
      <c r="B425" s="103"/>
      <c r="C425" s="103"/>
      <c r="D425" s="103" t="s">
        <v>1164</v>
      </c>
    </row>
    <row r="426" spans="1:4" x14ac:dyDescent="0.25">
      <c r="A426" s="11"/>
      <c r="B426" s="18"/>
      <c r="C426" s="18"/>
    </row>
    <row r="427" spans="1:4" x14ac:dyDescent="0.25">
      <c r="A427" s="11" t="s">
        <v>983</v>
      </c>
      <c r="B427" s="18" t="s">
        <v>984</v>
      </c>
      <c r="C427" s="18" t="s">
        <v>36</v>
      </c>
    </row>
    <row r="428" spans="1:4" x14ac:dyDescent="0.25">
      <c r="A428" s="11" t="s">
        <v>985</v>
      </c>
      <c r="B428" s="18" t="s">
        <v>986</v>
      </c>
      <c r="C428" s="18" t="s">
        <v>36</v>
      </c>
    </row>
    <row r="429" spans="1:4" x14ac:dyDescent="0.25">
      <c r="A429" s="11" t="s">
        <v>987</v>
      </c>
      <c r="B429" s="18" t="s">
        <v>988</v>
      </c>
      <c r="C429" s="18" t="s">
        <v>36</v>
      </c>
    </row>
    <row r="430" spans="1:4" x14ac:dyDescent="0.25">
      <c r="A430" s="11" t="s">
        <v>989</v>
      </c>
      <c r="B430" s="18" t="s">
        <v>990</v>
      </c>
      <c r="C430" s="18" t="s">
        <v>36</v>
      </c>
    </row>
    <row r="431" spans="1:4" x14ac:dyDescent="0.25">
      <c r="A431" s="11" t="s">
        <v>991</v>
      </c>
      <c r="B431" s="18" t="s">
        <v>992</v>
      </c>
      <c r="C431" s="18" t="s">
        <v>34</v>
      </c>
    </row>
    <row r="432" spans="1:4" x14ac:dyDescent="0.25">
      <c r="A432" s="11" t="s">
        <v>993</v>
      </c>
      <c r="B432" s="18" t="s">
        <v>994</v>
      </c>
      <c r="C432" s="18"/>
    </row>
    <row r="433" spans="1:3" x14ac:dyDescent="0.25">
      <c r="A433" s="11"/>
      <c r="B433" s="18"/>
      <c r="C433" s="18"/>
    </row>
    <row r="434" spans="1:3" x14ac:dyDescent="0.25">
      <c r="A434" s="11" t="s">
        <v>995</v>
      </c>
      <c r="B434" s="18" t="s">
        <v>996</v>
      </c>
      <c r="C434" s="18" t="s">
        <v>34</v>
      </c>
    </row>
    <row r="435" spans="1:3" x14ac:dyDescent="0.25">
      <c r="A435" s="11" t="s">
        <v>997</v>
      </c>
      <c r="B435" s="18" t="s">
        <v>998</v>
      </c>
      <c r="C435" s="18"/>
    </row>
    <row r="436" spans="1:3" x14ac:dyDescent="0.25">
      <c r="A436" s="11" t="s">
        <v>999</v>
      </c>
      <c r="B436" s="18" t="s">
        <v>1000</v>
      </c>
      <c r="C436" s="18" t="s">
        <v>34</v>
      </c>
    </row>
    <row r="437" spans="1:3" x14ac:dyDescent="0.25">
      <c r="A437" s="11"/>
      <c r="B437" s="18"/>
      <c r="C437" s="18"/>
    </row>
    <row r="438" spans="1:3" x14ac:dyDescent="0.25">
      <c r="A438" s="11" t="s">
        <v>1001</v>
      </c>
      <c r="B438" s="18" t="s">
        <v>1002</v>
      </c>
      <c r="C438" s="18" t="s">
        <v>34</v>
      </c>
    </row>
    <row r="439" spans="1:3" x14ac:dyDescent="0.25">
      <c r="A439" s="11" t="s">
        <v>1003</v>
      </c>
      <c r="B439" s="18" t="s">
        <v>1004</v>
      </c>
      <c r="C439" s="18"/>
    </row>
    <row r="440" spans="1:3" x14ac:dyDescent="0.25">
      <c r="A440" s="11"/>
      <c r="B440" s="18"/>
      <c r="C440" s="18"/>
    </row>
    <row r="441" spans="1:3" x14ac:dyDescent="0.25">
      <c r="A441" s="11" t="s">
        <v>1005</v>
      </c>
      <c r="B441" s="18" t="s">
        <v>1006</v>
      </c>
      <c r="C441" s="18" t="s">
        <v>34</v>
      </c>
    </row>
    <row r="442" spans="1:3" x14ac:dyDescent="0.25">
      <c r="A442" s="11" t="s">
        <v>1007</v>
      </c>
      <c r="B442" s="18" t="s">
        <v>1008</v>
      </c>
      <c r="C442" s="18"/>
    </row>
    <row r="443" spans="1:3" x14ac:dyDescent="0.25">
      <c r="A443" s="11"/>
      <c r="B443" s="18"/>
      <c r="C443" s="18"/>
    </row>
    <row r="444" spans="1:3" x14ac:dyDescent="0.25">
      <c r="A444" s="11" t="s">
        <v>1009</v>
      </c>
      <c r="B444" s="18" t="s">
        <v>1010</v>
      </c>
      <c r="C444" s="18" t="s">
        <v>34</v>
      </c>
    </row>
    <row r="445" spans="1:3" x14ac:dyDescent="0.25">
      <c r="A445" s="11" t="s">
        <v>1011</v>
      </c>
      <c r="B445" s="18" t="s">
        <v>1012</v>
      </c>
      <c r="C445" s="18"/>
    </row>
    <row r="446" spans="1:3" x14ac:dyDescent="0.25">
      <c r="A446" s="11" t="s">
        <v>1013</v>
      </c>
      <c r="B446" s="18" t="s">
        <v>1014</v>
      </c>
      <c r="C446" s="18" t="s">
        <v>34</v>
      </c>
    </row>
    <row r="447" spans="1:3" x14ac:dyDescent="0.25">
      <c r="A447" s="11" t="s">
        <v>1015</v>
      </c>
      <c r="B447" s="18" t="s">
        <v>1016</v>
      </c>
      <c r="C447" s="18" t="s">
        <v>34</v>
      </c>
    </row>
    <row r="448" spans="1:3" x14ac:dyDescent="0.25">
      <c r="A448" s="11" t="s">
        <v>1017</v>
      </c>
      <c r="B448" s="18" t="s">
        <v>1018</v>
      </c>
      <c r="C448" s="18"/>
    </row>
    <row r="449" spans="1:3" x14ac:dyDescent="0.25">
      <c r="A449" s="11" t="s">
        <v>1019</v>
      </c>
      <c r="B449" s="18" t="s">
        <v>1020</v>
      </c>
      <c r="C449" s="18" t="s">
        <v>34</v>
      </c>
    </row>
    <row r="450" spans="1:3" x14ac:dyDescent="0.25">
      <c r="A450" s="11" t="s">
        <v>1021</v>
      </c>
      <c r="B450" s="18" t="s">
        <v>1022</v>
      </c>
      <c r="C450" s="18" t="s">
        <v>34</v>
      </c>
    </row>
    <row r="451" spans="1:3" x14ac:dyDescent="0.25">
      <c r="A451" s="11"/>
      <c r="B451" s="18"/>
      <c r="C451" s="18"/>
    </row>
    <row r="452" spans="1:3" x14ac:dyDescent="0.25">
      <c r="A452" s="11" t="s">
        <v>1023</v>
      </c>
      <c r="B452" s="18" t="s">
        <v>1024</v>
      </c>
      <c r="C452" s="18" t="s">
        <v>34</v>
      </c>
    </row>
    <row r="453" spans="1:3" x14ac:dyDescent="0.25">
      <c r="A453" s="11" t="s">
        <v>1025</v>
      </c>
      <c r="B453" s="18" t="s">
        <v>1026</v>
      </c>
      <c r="C453" s="18"/>
    </row>
    <row r="454" spans="1:3" x14ac:dyDescent="0.25">
      <c r="A454" s="11" t="s">
        <v>1027</v>
      </c>
      <c r="B454" s="18" t="s">
        <v>1028</v>
      </c>
      <c r="C454" s="18" t="s">
        <v>34</v>
      </c>
    </row>
    <row r="455" spans="1:3" x14ac:dyDescent="0.25">
      <c r="A455" s="11" t="s">
        <v>1029</v>
      </c>
      <c r="B455" s="18" t="s">
        <v>1030</v>
      </c>
      <c r="C455" s="18" t="s">
        <v>34</v>
      </c>
    </row>
    <row r="456" spans="1:3" x14ac:dyDescent="0.25">
      <c r="A456" s="11"/>
      <c r="B456" s="18"/>
      <c r="C456" s="18"/>
    </row>
    <row r="457" spans="1:3" x14ac:dyDescent="0.25">
      <c r="A457" s="11" t="s">
        <v>1031</v>
      </c>
      <c r="B457" s="18" t="s">
        <v>1032</v>
      </c>
      <c r="C457" s="18" t="s">
        <v>34</v>
      </c>
    </row>
    <row r="458" spans="1:3" x14ac:dyDescent="0.25">
      <c r="A458" s="11" t="s">
        <v>1033</v>
      </c>
      <c r="B458" s="18" t="s">
        <v>1034</v>
      </c>
      <c r="C458" s="18"/>
    </row>
    <row r="459" spans="1:3" x14ac:dyDescent="0.25">
      <c r="A459" s="11" t="s">
        <v>1035</v>
      </c>
      <c r="B459" s="18" t="s">
        <v>1036</v>
      </c>
      <c r="C459" s="18" t="s">
        <v>34</v>
      </c>
    </row>
    <row r="460" spans="1:3" x14ac:dyDescent="0.25">
      <c r="A460" s="11" t="s">
        <v>1037</v>
      </c>
      <c r="B460" s="18" t="s">
        <v>1038</v>
      </c>
      <c r="C460" s="18" t="s">
        <v>34</v>
      </c>
    </row>
    <row r="461" spans="1:3" x14ac:dyDescent="0.25">
      <c r="A461" s="11" t="s">
        <v>1039</v>
      </c>
      <c r="B461" s="18" t="s">
        <v>1040</v>
      </c>
      <c r="C461" s="18"/>
    </row>
    <row r="462" spans="1:3" x14ac:dyDescent="0.25">
      <c r="A462" s="11" t="s">
        <v>1041</v>
      </c>
      <c r="B462" s="18" t="s">
        <v>1042</v>
      </c>
      <c r="C462" s="18" t="s">
        <v>34</v>
      </c>
    </row>
    <row r="463" spans="1:3" x14ac:dyDescent="0.25">
      <c r="A463" s="11"/>
      <c r="B463" s="18"/>
      <c r="C463" s="18"/>
    </row>
    <row r="464" spans="1:3" x14ac:dyDescent="0.25">
      <c r="A464" s="11" t="s">
        <v>1043</v>
      </c>
      <c r="B464" s="18" t="s">
        <v>1044</v>
      </c>
      <c r="C464" s="18" t="s">
        <v>34</v>
      </c>
    </row>
    <row r="465" spans="1:3" x14ac:dyDescent="0.25">
      <c r="A465" s="11" t="s">
        <v>1045</v>
      </c>
      <c r="B465" s="18" t="s">
        <v>1046</v>
      </c>
      <c r="C465" s="18" t="s">
        <v>34</v>
      </c>
    </row>
    <row r="466" spans="1:3" x14ac:dyDescent="0.25">
      <c r="A466" s="11" t="s">
        <v>1047</v>
      </c>
      <c r="B466" s="18" t="s">
        <v>1048</v>
      </c>
      <c r="C466" s="18" t="s">
        <v>34</v>
      </c>
    </row>
    <row r="467" spans="1:3" x14ac:dyDescent="0.25">
      <c r="A467" s="11" t="s">
        <v>1049</v>
      </c>
      <c r="B467" s="18" t="s">
        <v>1050</v>
      </c>
      <c r="C467" s="18" t="s">
        <v>34</v>
      </c>
    </row>
    <row r="468" spans="1:3" x14ac:dyDescent="0.25">
      <c r="A468" s="11" t="s">
        <v>1051</v>
      </c>
      <c r="B468" s="18" t="s">
        <v>1052</v>
      </c>
      <c r="C468" s="18" t="s">
        <v>34</v>
      </c>
    </row>
    <row r="469" spans="1:3" x14ac:dyDescent="0.25">
      <c r="A469" s="11" t="s">
        <v>1053</v>
      </c>
      <c r="B469" s="18" t="s">
        <v>1054</v>
      </c>
      <c r="C469" s="18"/>
    </row>
    <row r="470" spans="1:3" x14ac:dyDescent="0.25">
      <c r="A470" s="11"/>
      <c r="B470" s="18"/>
      <c r="C470" s="18"/>
    </row>
    <row r="471" spans="1:3" x14ac:dyDescent="0.25">
      <c r="A471" s="11" t="s">
        <v>1055</v>
      </c>
      <c r="B471" s="18" t="s">
        <v>1056</v>
      </c>
      <c r="C471" s="18" t="s">
        <v>34</v>
      </c>
    </row>
    <row r="472" spans="1:3" x14ac:dyDescent="0.25">
      <c r="A472" s="11"/>
      <c r="B472" s="18"/>
      <c r="C472" s="18"/>
    </row>
    <row r="473" spans="1:3" x14ac:dyDescent="0.25">
      <c r="A473" s="11"/>
      <c r="B473" s="18"/>
      <c r="C473" s="18"/>
    </row>
    <row r="474" spans="1:3" x14ac:dyDescent="0.25">
      <c r="A474" s="11" t="s">
        <v>1057</v>
      </c>
      <c r="B474" s="18" t="s">
        <v>1058</v>
      </c>
      <c r="C474" s="18" t="s">
        <v>34</v>
      </c>
    </row>
    <row r="475" spans="1:3" x14ac:dyDescent="0.25">
      <c r="A475" s="11" t="s">
        <v>1059</v>
      </c>
      <c r="B475" s="18" t="s">
        <v>1060</v>
      </c>
      <c r="C475" s="18"/>
    </row>
    <row r="476" spans="1:3" x14ac:dyDescent="0.25">
      <c r="A476" s="11"/>
      <c r="B476" s="18"/>
      <c r="C476" s="18"/>
    </row>
    <row r="477" spans="1:3" x14ac:dyDescent="0.25">
      <c r="A477" s="11" t="s">
        <v>1061</v>
      </c>
      <c r="B477" s="18" t="s">
        <v>1062</v>
      </c>
      <c r="C477" s="18" t="s">
        <v>34</v>
      </c>
    </row>
    <row r="478" spans="1:3" x14ac:dyDescent="0.25">
      <c r="A478" s="11"/>
      <c r="B478" s="18"/>
      <c r="C478" s="18"/>
    </row>
    <row r="479" spans="1:3" x14ac:dyDescent="0.25">
      <c r="A479" s="11" t="s">
        <v>1063</v>
      </c>
      <c r="B479" s="18" t="s">
        <v>1064</v>
      </c>
      <c r="C479" s="18" t="s">
        <v>34</v>
      </c>
    </row>
    <row r="480" spans="1:3" x14ac:dyDescent="0.25">
      <c r="A480" s="11" t="s">
        <v>1065</v>
      </c>
      <c r="B480" s="18" t="s">
        <v>1066</v>
      </c>
      <c r="C480" s="18" t="s">
        <v>34</v>
      </c>
    </row>
    <row r="481" spans="1:4" x14ac:dyDescent="0.25">
      <c r="A481" s="11" t="s">
        <v>1067</v>
      </c>
      <c r="B481" s="18" t="s">
        <v>1068</v>
      </c>
      <c r="C481" s="18"/>
    </row>
    <row r="482" spans="1:4" x14ac:dyDescent="0.25">
      <c r="A482" s="11"/>
      <c r="B482" s="18"/>
      <c r="C482" s="18"/>
    </row>
    <row r="483" spans="1:4" x14ac:dyDescent="0.25">
      <c r="A483" s="11" t="s">
        <v>1069</v>
      </c>
      <c r="B483" s="18" t="s">
        <v>1070</v>
      </c>
      <c r="C483" s="18" t="s">
        <v>34</v>
      </c>
    </row>
    <row r="484" spans="1:4" x14ac:dyDescent="0.25">
      <c r="A484" s="11" t="s">
        <v>1071</v>
      </c>
      <c r="B484" s="18" t="s">
        <v>1072</v>
      </c>
      <c r="C484" s="18" t="s">
        <v>34</v>
      </c>
    </row>
    <row r="485" spans="1:4" x14ac:dyDescent="0.25">
      <c r="A485" s="11" t="s">
        <v>1073</v>
      </c>
      <c r="B485" s="18" t="s">
        <v>1074</v>
      </c>
      <c r="C485" s="18" t="s">
        <v>34</v>
      </c>
    </row>
    <row r="486" spans="1:4" x14ac:dyDescent="0.25">
      <c r="A486" s="11" t="s">
        <v>1075</v>
      </c>
      <c r="B486" s="18" t="s">
        <v>1076</v>
      </c>
      <c r="C486" s="18" t="s">
        <v>34</v>
      </c>
    </row>
    <row r="487" spans="1:4" x14ac:dyDescent="0.25">
      <c r="A487" s="11" t="s">
        <v>1077</v>
      </c>
      <c r="B487" s="18" t="s">
        <v>1078</v>
      </c>
      <c r="C487" s="18" t="s">
        <v>34</v>
      </c>
    </row>
    <row r="488" spans="1:4" x14ac:dyDescent="0.25">
      <c r="A488" s="11"/>
      <c r="B488" s="18"/>
      <c r="C488" s="18"/>
    </row>
    <row r="489" spans="1:4" x14ac:dyDescent="0.25">
      <c r="A489" s="11" t="s">
        <v>1079</v>
      </c>
      <c r="B489" s="18" t="s">
        <v>1080</v>
      </c>
      <c r="C489" s="18" t="s">
        <v>34</v>
      </c>
    </row>
    <row r="490" spans="1:4" x14ac:dyDescent="0.25">
      <c r="A490" s="11" t="s">
        <v>1081</v>
      </c>
      <c r="B490" s="18" t="s">
        <v>1082</v>
      </c>
      <c r="C490" s="18" t="s">
        <v>34</v>
      </c>
    </row>
    <row r="491" spans="1:4" x14ac:dyDescent="0.25">
      <c r="A491" s="11" t="s">
        <v>1083</v>
      </c>
      <c r="B491" s="18" t="s">
        <v>1084</v>
      </c>
      <c r="C491" s="18" t="s">
        <v>34</v>
      </c>
    </row>
    <row r="492" spans="1:4" x14ac:dyDescent="0.25">
      <c r="A492" s="11" t="s">
        <v>1085</v>
      </c>
      <c r="B492" s="18" t="s">
        <v>1086</v>
      </c>
      <c r="C492" s="18" t="s">
        <v>34</v>
      </c>
    </row>
    <row r="493" spans="1:4" x14ac:dyDescent="0.25">
      <c r="A493" s="11" t="s">
        <v>1087</v>
      </c>
      <c r="B493" s="18" t="s">
        <v>1088</v>
      </c>
      <c r="C493" s="18" t="s">
        <v>34</v>
      </c>
    </row>
    <row r="494" spans="1:4" x14ac:dyDescent="0.25">
      <c r="A494" s="11"/>
      <c r="B494" s="18"/>
      <c r="C494" s="18"/>
    </row>
    <row r="495" spans="1:4" ht="21" x14ac:dyDescent="0.35">
      <c r="A495" s="13" t="s">
        <v>1089</v>
      </c>
      <c r="B495" s="103"/>
      <c r="C495" s="103"/>
      <c r="D495" s="103" t="s">
        <v>1167</v>
      </c>
    </row>
    <row r="496" spans="1:4" x14ac:dyDescent="0.25">
      <c r="A496" s="11" t="s">
        <v>1090</v>
      </c>
      <c r="B496" s="18" t="s">
        <v>1091</v>
      </c>
      <c r="C496" s="18" t="s">
        <v>34</v>
      </c>
    </row>
    <row r="497" spans="1:4" x14ac:dyDescent="0.25">
      <c r="A497" s="11" t="s">
        <v>1092</v>
      </c>
      <c r="B497" s="18" t="s">
        <v>1093</v>
      </c>
      <c r="C497" s="18" t="s">
        <v>34</v>
      </c>
    </row>
    <row r="498" spans="1:4" x14ac:dyDescent="0.25">
      <c r="A498" s="11" t="s">
        <v>1094</v>
      </c>
      <c r="B498" s="18" t="s">
        <v>1095</v>
      </c>
      <c r="C498" s="18"/>
    </row>
    <row r="499" spans="1:4" ht="21" x14ac:dyDescent="0.35">
      <c r="A499" s="13" t="s">
        <v>1096</v>
      </c>
      <c r="B499" s="103"/>
      <c r="C499" s="103"/>
      <c r="D499" s="103" t="s">
        <v>1168</v>
      </c>
    </row>
    <row r="500" spans="1:4" x14ac:dyDescent="0.25">
      <c r="A500" s="11" t="s">
        <v>1097</v>
      </c>
      <c r="B500" s="18" t="s">
        <v>1098</v>
      </c>
      <c r="C500" s="18" t="s">
        <v>36</v>
      </c>
    </row>
    <row r="501" spans="1:4" x14ac:dyDescent="0.25">
      <c r="A501" s="11" t="s">
        <v>1099</v>
      </c>
      <c r="B501" s="18" t="s">
        <v>1100</v>
      </c>
      <c r="C501" s="18" t="s">
        <v>36</v>
      </c>
    </row>
    <row r="502" spans="1:4" x14ac:dyDescent="0.25">
      <c r="A502" s="11" t="s">
        <v>1101</v>
      </c>
      <c r="B502" s="18" t="s">
        <v>1102</v>
      </c>
      <c r="C502" s="18" t="s">
        <v>36</v>
      </c>
    </row>
    <row r="503" spans="1:4" x14ac:dyDescent="0.25">
      <c r="A503" s="11"/>
      <c r="B503" s="18"/>
      <c r="C503" s="18"/>
    </row>
    <row r="504" spans="1:4" x14ac:dyDescent="0.25">
      <c r="A504" s="11" t="s">
        <v>1103</v>
      </c>
      <c r="B504" s="18" t="s">
        <v>1104</v>
      </c>
      <c r="C504" s="18" t="s">
        <v>36</v>
      </c>
    </row>
    <row r="505" spans="1:4" x14ac:dyDescent="0.25">
      <c r="A505" s="11"/>
      <c r="B505" s="18"/>
      <c r="C505" s="18"/>
    </row>
    <row r="506" spans="1:4" x14ac:dyDescent="0.25">
      <c r="A506" s="11" t="s">
        <v>1105</v>
      </c>
      <c r="B506" s="18" t="s">
        <v>1106</v>
      </c>
      <c r="C506" s="18" t="s">
        <v>36</v>
      </c>
    </row>
    <row r="507" spans="1:4" x14ac:dyDescent="0.25">
      <c r="A507" s="11" t="s">
        <v>1107</v>
      </c>
      <c r="B507" s="18" t="s">
        <v>1108</v>
      </c>
      <c r="C507" s="18" t="s">
        <v>36</v>
      </c>
    </row>
    <row r="508" spans="1:4" x14ac:dyDescent="0.25">
      <c r="A508" s="11" t="s">
        <v>1109</v>
      </c>
      <c r="B508" s="18" t="s">
        <v>1110</v>
      </c>
      <c r="C508" s="18" t="s">
        <v>36</v>
      </c>
    </row>
    <row r="509" spans="1:4" x14ac:dyDescent="0.25">
      <c r="A509" s="11" t="s">
        <v>1111</v>
      </c>
      <c r="B509" s="18" t="s">
        <v>1112</v>
      </c>
      <c r="C509" s="18" t="s">
        <v>36</v>
      </c>
    </row>
    <row r="510" spans="1:4" x14ac:dyDescent="0.25">
      <c r="A510" s="11" t="s">
        <v>1113</v>
      </c>
      <c r="B510" s="18" t="s">
        <v>1114</v>
      </c>
      <c r="C510" s="18" t="s">
        <v>36</v>
      </c>
    </row>
    <row r="511" spans="1:4" x14ac:dyDescent="0.25">
      <c r="A511" s="11" t="s">
        <v>1115</v>
      </c>
      <c r="B511" s="18" t="s">
        <v>1116</v>
      </c>
      <c r="C511" s="18" t="s">
        <v>36</v>
      </c>
    </row>
    <row r="512" spans="1:4" x14ac:dyDescent="0.25">
      <c r="A512" s="11" t="s">
        <v>1117</v>
      </c>
      <c r="B512" s="18" t="s">
        <v>1118</v>
      </c>
      <c r="C512" s="18" t="s">
        <v>36</v>
      </c>
    </row>
    <row r="513" spans="1:3" x14ac:dyDescent="0.25">
      <c r="A513" s="11"/>
      <c r="B513" s="18"/>
      <c r="C513" s="18"/>
    </row>
    <row r="514" spans="1:3" x14ac:dyDescent="0.25">
      <c r="A514" s="11" t="s">
        <v>1119</v>
      </c>
      <c r="B514" s="18" t="s">
        <v>1120</v>
      </c>
      <c r="C514" s="18" t="s">
        <v>36</v>
      </c>
    </row>
    <row r="515" spans="1:3" x14ac:dyDescent="0.25">
      <c r="A515" s="11" t="s">
        <v>1121</v>
      </c>
      <c r="B515" s="18" t="s">
        <v>1122</v>
      </c>
      <c r="C515" s="18" t="s">
        <v>36</v>
      </c>
    </row>
    <row r="516" spans="1:3" x14ac:dyDescent="0.25">
      <c r="A516" s="11" t="s">
        <v>1123</v>
      </c>
      <c r="B516" s="18" t="s">
        <v>1124</v>
      </c>
      <c r="C516" s="18" t="s">
        <v>36</v>
      </c>
    </row>
    <row r="517" spans="1:3" x14ac:dyDescent="0.25">
      <c r="A517" s="11" t="s">
        <v>1125</v>
      </c>
      <c r="B517" s="18" t="s">
        <v>1126</v>
      </c>
      <c r="C517" s="18" t="s">
        <v>36</v>
      </c>
    </row>
    <row r="518" spans="1:3" x14ac:dyDescent="0.25">
      <c r="A518" s="11"/>
      <c r="B518" s="18"/>
      <c r="C518" s="18"/>
    </row>
    <row r="519" spans="1:3" x14ac:dyDescent="0.25">
      <c r="A519" s="11" t="s">
        <v>1127</v>
      </c>
      <c r="B519" s="18" t="s">
        <v>1128</v>
      </c>
      <c r="C519" s="18" t="s">
        <v>36</v>
      </c>
    </row>
    <row r="520" spans="1:3" x14ac:dyDescent="0.25">
      <c r="A520" s="11" t="s">
        <v>1129</v>
      </c>
      <c r="B520" s="18" t="s">
        <v>1130</v>
      </c>
      <c r="C520" s="18" t="s">
        <v>36</v>
      </c>
    </row>
    <row r="521" spans="1:3" x14ac:dyDescent="0.25">
      <c r="A521" s="11" t="s">
        <v>1131</v>
      </c>
      <c r="B521" s="18" t="s">
        <v>1132</v>
      </c>
      <c r="C521" s="18" t="s">
        <v>36</v>
      </c>
    </row>
    <row r="522" spans="1:3" x14ac:dyDescent="0.25">
      <c r="A522" s="11"/>
      <c r="B522" s="18"/>
      <c r="C522" s="18"/>
    </row>
    <row r="523" spans="1:3" x14ac:dyDescent="0.25">
      <c r="A523" s="11" t="s">
        <v>1133</v>
      </c>
      <c r="B523" s="18" t="s">
        <v>1134</v>
      </c>
      <c r="C523" s="18" t="s">
        <v>36</v>
      </c>
    </row>
    <row r="524" spans="1:3" x14ac:dyDescent="0.25">
      <c r="A524" s="11" t="s">
        <v>1135</v>
      </c>
      <c r="B524" s="18" t="s">
        <v>1136</v>
      </c>
      <c r="C524" s="18" t="s">
        <v>36</v>
      </c>
    </row>
    <row r="525" spans="1:3" x14ac:dyDescent="0.25">
      <c r="A525" s="11"/>
      <c r="B525" s="18"/>
      <c r="C525" s="18"/>
    </row>
    <row r="526" spans="1:3" x14ac:dyDescent="0.25">
      <c r="A526" s="11" t="s">
        <v>1137</v>
      </c>
      <c r="B526" s="18" t="s">
        <v>1138</v>
      </c>
      <c r="C526" s="18" t="s">
        <v>34</v>
      </c>
    </row>
    <row r="527" spans="1:3" x14ac:dyDescent="0.25">
      <c r="A527" s="11" t="s">
        <v>1139</v>
      </c>
      <c r="B527" s="18" t="s">
        <v>1140</v>
      </c>
      <c r="C527" s="18"/>
    </row>
    <row r="528" spans="1:3" x14ac:dyDescent="0.25">
      <c r="A528" s="11"/>
      <c r="B528" s="18"/>
      <c r="C528" s="18"/>
    </row>
    <row r="529" spans="1:4" ht="21" x14ac:dyDescent="0.35">
      <c r="A529" s="13" t="s">
        <v>1141</v>
      </c>
      <c r="B529" s="103"/>
      <c r="C529" s="103"/>
    </row>
    <row r="530" spans="1:4" x14ac:dyDescent="0.25">
      <c r="A530" s="11"/>
      <c r="B530" s="18"/>
      <c r="C530" s="18"/>
    </row>
    <row r="531" spans="1:4" ht="21" x14ac:dyDescent="0.35">
      <c r="A531" s="13" t="s">
        <v>1142</v>
      </c>
      <c r="B531" s="103"/>
      <c r="C531" s="103"/>
      <c r="D531" s="103" t="s">
        <v>1169</v>
      </c>
    </row>
    <row r="532" spans="1:4" x14ac:dyDescent="0.25">
      <c r="A532" s="11"/>
      <c r="B532" s="18"/>
      <c r="C532" s="18"/>
    </row>
    <row r="533" spans="1:4" x14ac:dyDescent="0.25">
      <c r="A533" s="11" t="s">
        <v>1143</v>
      </c>
      <c r="B533" s="18" t="s">
        <v>1144</v>
      </c>
      <c r="C533" s="18" t="s">
        <v>34</v>
      </c>
    </row>
    <row r="534" spans="1:4" x14ac:dyDescent="0.25">
      <c r="A534" s="11" t="s">
        <v>1145</v>
      </c>
      <c r="B534" s="18" t="s">
        <v>1146</v>
      </c>
      <c r="C534" s="18"/>
    </row>
    <row r="535" spans="1:4" x14ac:dyDescent="0.25">
      <c r="A535" s="11"/>
      <c r="B535" s="18"/>
      <c r="C535" s="18"/>
    </row>
    <row r="536" spans="1:4" x14ac:dyDescent="0.25">
      <c r="A536" s="11" t="s">
        <v>1147</v>
      </c>
      <c r="B536" s="18" t="s">
        <v>1148</v>
      </c>
      <c r="C536" s="18" t="s">
        <v>35</v>
      </c>
    </row>
    <row r="537" spans="1:4" x14ac:dyDescent="0.25">
      <c r="A537" s="11" t="s">
        <v>1149</v>
      </c>
      <c r="B537" s="18" t="s">
        <v>1150</v>
      </c>
      <c r="C537" s="18"/>
    </row>
    <row r="538" spans="1:4" x14ac:dyDescent="0.25">
      <c r="A538" s="11" t="s">
        <v>1151</v>
      </c>
      <c r="B538" s="18" t="s">
        <v>1152</v>
      </c>
      <c r="C538" s="18"/>
    </row>
    <row r="539" spans="1:4" x14ac:dyDescent="0.25">
      <c r="A539" s="11"/>
      <c r="B539" s="18"/>
      <c r="C539" s="18"/>
    </row>
    <row r="540" spans="1:4" x14ac:dyDescent="0.25">
      <c r="A540" s="11" t="s">
        <v>1153</v>
      </c>
      <c r="B540" s="18" t="s">
        <v>1154</v>
      </c>
      <c r="C540" s="18" t="s">
        <v>36</v>
      </c>
    </row>
    <row r="541" spans="1:4" x14ac:dyDescent="0.25">
      <c r="A541" s="11" t="s">
        <v>1155</v>
      </c>
      <c r="B541" s="18" t="s">
        <v>1156</v>
      </c>
      <c r="C541" s="18"/>
    </row>
    <row r="542" spans="1:4" x14ac:dyDescent="0.25">
      <c r="A542" s="11" t="s">
        <v>1157</v>
      </c>
      <c r="B542" s="18" t="s">
        <v>1158</v>
      </c>
      <c r="C542" s="18"/>
    </row>
    <row r="543" spans="1:4" x14ac:dyDescent="0.25">
      <c r="A543" s="11"/>
      <c r="B543" s="18"/>
      <c r="C543" s="18"/>
    </row>
    <row r="544" spans="1:4" x14ac:dyDescent="0.25">
      <c r="A544" s="11"/>
      <c r="B544" s="18"/>
      <c r="C544" s="18"/>
    </row>
    <row r="545" spans="1:3" x14ac:dyDescent="0.25">
      <c r="A545" s="10"/>
      <c r="B545" s="16"/>
      <c r="C545" s="16"/>
    </row>
  </sheetData>
  <dataValidations count="1">
    <dataValidation type="list" allowBlank="1" showInputMessage="1" showErrorMessage="1" sqref="C5:C236 C238:C544">
      <formula1>signal</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5"/>
  <sheetViews>
    <sheetView workbookViewId="0">
      <selection activeCell="P2" sqref="P2"/>
    </sheetView>
  </sheetViews>
  <sheetFormatPr defaultRowHeight="15" x14ac:dyDescent="0.25"/>
  <cols>
    <col min="1" max="2" width="14.42578125" customWidth="1"/>
    <col min="3" max="3" width="14.5703125" customWidth="1"/>
    <col min="4" max="4" width="16.140625" customWidth="1"/>
    <col min="5" max="5" width="13.140625" customWidth="1"/>
    <col min="6" max="6" width="17" customWidth="1"/>
    <col min="7" max="7" width="18.42578125" customWidth="1"/>
    <col min="8" max="8" width="32.42578125" customWidth="1"/>
    <col min="10" max="10" width="17.5703125" customWidth="1"/>
    <col min="12" max="12" width="15.140625" customWidth="1"/>
    <col min="13" max="13" width="15.85546875" customWidth="1"/>
    <col min="14" max="14" width="11.42578125" customWidth="1"/>
    <col min="16" max="16" width="11.28515625" customWidth="1"/>
  </cols>
  <sheetData>
    <row r="1" spans="1:16" ht="16.5" thickTop="1" thickBot="1" x14ac:dyDescent="0.3">
      <c r="A1" s="22" t="s">
        <v>37</v>
      </c>
      <c r="B1" s="22" t="s">
        <v>40</v>
      </c>
      <c r="C1" s="22" t="s">
        <v>42</v>
      </c>
      <c r="D1" s="22" t="s">
        <v>45</v>
      </c>
      <c r="E1" s="23" t="s">
        <v>8</v>
      </c>
      <c r="F1" s="23" t="s">
        <v>63</v>
      </c>
      <c r="G1" s="23" t="s">
        <v>22</v>
      </c>
      <c r="H1" s="23" t="s">
        <v>74</v>
      </c>
      <c r="I1" s="23" t="s">
        <v>2</v>
      </c>
      <c r="J1" s="23" t="s">
        <v>77</v>
      </c>
      <c r="K1" s="23" t="s">
        <v>80</v>
      </c>
      <c r="L1" s="23" t="s">
        <v>81</v>
      </c>
      <c r="M1" s="23" t="s">
        <v>85</v>
      </c>
      <c r="N1" s="23" t="s">
        <v>166</v>
      </c>
      <c r="O1" s="24" t="s">
        <v>179</v>
      </c>
      <c r="P1" s="100" t="s">
        <v>252</v>
      </c>
    </row>
    <row r="2" spans="1:16" ht="16.5" thickTop="1" thickBot="1" x14ac:dyDescent="0.3">
      <c r="A2" s="22"/>
      <c r="B2" s="22"/>
      <c r="C2" s="22"/>
      <c r="D2" s="22" t="s">
        <v>83</v>
      </c>
      <c r="E2" s="23"/>
      <c r="F2" s="23"/>
      <c r="G2" s="23" t="s">
        <v>83</v>
      </c>
      <c r="H2" s="23"/>
      <c r="I2" s="23">
        <v>1980</v>
      </c>
      <c r="J2" s="23" t="s">
        <v>79</v>
      </c>
      <c r="K2" s="23">
        <f>vehicleYear</f>
        <v>2019</v>
      </c>
      <c r="L2" s="23" t="s">
        <v>34</v>
      </c>
      <c r="M2" s="23" t="s">
        <v>83</v>
      </c>
      <c r="N2" s="23" t="s">
        <v>167</v>
      </c>
      <c r="O2" s="24" t="s">
        <v>83</v>
      </c>
      <c r="P2" s="100" t="s">
        <v>253</v>
      </c>
    </row>
    <row r="3" spans="1:16" ht="16.5" thickTop="1" thickBot="1" x14ac:dyDescent="0.3">
      <c r="A3" s="24" t="s">
        <v>38</v>
      </c>
      <c r="B3" s="24" t="s">
        <v>4</v>
      </c>
      <c r="C3" s="24" t="s">
        <v>43</v>
      </c>
      <c r="D3" s="24">
        <v>20000</v>
      </c>
      <c r="E3" s="24" t="s">
        <v>46</v>
      </c>
      <c r="F3" s="24">
        <v>0</v>
      </c>
      <c r="G3" s="24" t="s">
        <v>72</v>
      </c>
      <c r="H3" s="24" t="s">
        <v>4</v>
      </c>
      <c r="I3" s="23">
        <v>1981</v>
      </c>
      <c r="J3" s="24" t="s">
        <v>78</v>
      </c>
      <c r="K3" s="24"/>
      <c r="L3" s="31" t="s">
        <v>36</v>
      </c>
      <c r="M3" s="24"/>
      <c r="N3" s="23" t="s">
        <v>168</v>
      </c>
      <c r="O3" s="24" t="s">
        <v>99</v>
      </c>
      <c r="P3" s="101" t="s">
        <v>254</v>
      </c>
    </row>
    <row r="4" spans="1:16" ht="16.5" thickTop="1" thickBot="1" x14ac:dyDescent="0.3">
      <c r="A4" s="24" t="s">
        <v>39</v>
      </c>
      <c r="B4" s="24" t="s">
        <v>41</v>
      </c>
      <c r="C4" s="24" t="s">
        <v>44</v>
      </c>
      <c r="D4" s="24">
        <v>33333</v>
      </c>
      <c r="E4" s="24" t="s">
        <v>47</v>
      </c>
      <c r="F4" s="24">
        <v>1</v>
      </c>
      <c r="G4" s="24" t="s">
        <v>73</v>
      </c>
      <c r="H4" s="24" t="s">
        <v>75</v>
      </c>
      <c r="I4" s="23">
        <v>1982</v>
      </c>
      <c r="J4" s="24" t="s">
        <v>83</v>
      </c>
      <c r="K4" s="24"/>
      <c r="L4" s="32" t="s">
        <v>35</v>
      </c>
      <c r="M4" s="24"/>
      <c r="O4" s="24" t="s">
        <v>97</v>
      </c>
    </row>
    <row r="5" spans="1:16" ht="16.5" thickTop="1" thickBot="1" x14ac:dyDescent="0.3">
      <c r="A5" s="24"/>
      <c r="B5" s="24"/>
      <c r="C5" s="24"/>
      <c r="D5" s="24">
        <v>50000</v>
      </c>
      <c r="E5" s="25" t="s">
        <v>48</v>
      </c>
      <c r="F5" s="24">
        <v>2</v>
      </c>
      <c r="G5" s="24"/>
      <c r="H5" s="24"/>
      <c r="I5" s="23">
        <v>1983</v>
      </c>
      <c r="J5" s="24"/>
      <c r="K5" s="24"/>
      <c r="L5" s="24"/>
      <c r="M5" s="24"/>
      <c r="O5" s="24" t="s">
        <v>180</v>
      </c>
    </row>
    <row r="6" spans="1:16" ht="16.5" thickTop="1" thickBot="1" x14ac:dyDescent="0.3">
      <c r="A6" s="24"/>
      <c r="B6" s="24"/>
      <c r="C6" s="24"/>
      <c r="D6" s="24">
        <v>62500</v>
      </c>
      <c r="E6" s="24" t="s">
        <v>49</v>
      </c>
      <c r="F6" s="24">
        <v>3</v>
      </c>
      <c r="G6" s="24"/>
      <c r="H6" s="24"/>
      <c r="I6" s="23">
        <v>1984</v>
      </c>
      <c r="J6" s="24"/>
      <c r="K6" s="24"/>
      <c r="L6" s="24"/>
      <c r="M6" s="24"/>
    </row>
    <row r="7" spans="1:16" ht="16.5" thickTop="1" thickBot="1" x14ac:dyDescent="0.3">
      <c r="A7" s="24"/>
      <c r="B7" s="24"/>
      <c r="C7" s="24"/>
      <c r="D7" s="24">
        <v>83333</v>
      </c>
      <c r="E7" s="24" t="s">
        <v>50</v>
      </c>
      <c r="F7" s="24">
        <v>4</v>
      </c>
      <c r="G7" s="24"/>
      <c r="H7" s="24"/>
      <c r="I7" s="23">
        <v>1985</v>
      </c>
      <c r="J7" s="24"/>
      <c r="K7" s="24"/>
      <c r="L7" s="24"/>
      <c r="M7" s="24"/>
    </row>
    <row r="8" spans="1:16" ht="16.5" thickTop="1" thickBot="1" x14ac:dyDescent="0.3">
      <c r="A8" s="24"/>
      <c r="B8" s="24"/>
      <c r="C8" s="24"/>
      <c r="D8" s="24">
        <v>100000</v>
      </c>
      <c r="E8" s="24" t="s">
        <v>51</v>
      </c>
      <c r="F8" s="24">
        <v>5</v>
      </c>
      <c r="G8" s="24"/>
      <c r="H8" s="24"/>
      <c r="I8" s="23">
        <v>1986</v>
      </c>
      <c r="J8" s="24"/>
      <c r="K8" s="24"/>
      <c r="L8" s="24"/>
      <c r="M8" s="24"/>
    </row>
    <row r="9" spans="1:16" ht="16.5" thickTop="1" thickBot="1" x14ac:dyDescent="0.3">
      <c r="A9" s="24"/>
      <c r="B9" s="24"/>
      <c r="C9" s="24"/>
      <c r="D9" s="24">
        <v>125000</v>
      </c>
      <c r="E9" s="24" t="s">
        <v>52</v>
      </c>
      <c r="F9" s="24">
        <v>6</v>
      </c>
      <c r="G9" s="24"/>
      <c r="H9" s="24"/>
      <c r="I9" s="23">
        <v>1987</v>
      </c>
      <c r="J9" s="24"/>
      <c r="K9" s="24"/>
      <c r="L9" s="24"/>
      <c r="M9" s="24"/>
    </row>
    <row r="10" spans="1:16" ht="16.5" thickTop="1" thickBot="1" x14ac:dyDescent="0.3">
      <c r="A10" s="24"/>
      <c r="B10" s="24"/>
      <c r="C10" s="24"/>
      <c r="D10" s="24">
        <v>250000</v>
      </c>
      <c r="E10" s="24" t="s">
        <v>53</v>
      </c>
      <c r="F10" s="24">
        <v>7</v>
      </c>
      <c r="G10" s="24"/>
      <c r="H10" s="24"/>
      <c r="I10" s="23">
        <v>1988</v>
      </c>
      <c r="J10" s="24"/>
      <c r="K10" s="24"/>
      <c r="L10" s="24"/>
      <c r="M10" s="24"/>
    </row>
    <row r="11" spans="1:16" ht="16.5" thickTop="1" thickBot="1" x14ac:dyDescent="0.3">
      <c r="A11" s="24"/>
      <c r="B11" s="24"/>
      <c r="C11" s="24"/>
      <c r="D11" s="24">
        <v>500000</v>
      </c>
      <c r="E11" s="24" t="s">
        <v>54</v>
      </c>
      <c r="F11" s="24">
        <v>8</v>
      </c>
      <c r="G11" s="24"/>
      <c r="H11" s="24"/>
      <c r="I11" s="23">
        <v>1989</v>
      </c>
      <c r="J11" s="24"/>
      <c r="K11" s="24"/>
      <c r="L11" s="24"/>
      <c r="M11" s="24"/>
    </row>
    <row r="12" spans="1:16" ht="16.5" thickTop="1" thickBot="1" x14ac:dyDescent="0.3">
      <c r="A12" s="24"/>
      <c r="B12" s="24"/>
      <c r="C12" s="24"/>
      <c r="D12" s="24">
        <v>800000</v>
      </c>
      <c r="E12" s="24" t="s">
        <v>55</v>
      </c>
      <c r="F12" s="24"/>
      <c r="G12" s="24"/>
      <c r="H12" s="24"/>
      <c r="I12" s="23">
        <v>1990</v>
      </c>
      <c r="J12" s="24"/>
      <c r="K12" s="24"/>
      <c r="L12" s="24"/>
      <c r="M12" s="24"/>
    </row>
    <row r="13" spans="1:16" ht="16.5" thickTop="1" thickBot="1" x14ac:dyDescent="0.3">
      <c r="A13" s="24"/>
      <c r="B13" s="24"/>
      <c r="C13" s="24"/>
      <c r="D13" s="24">
        <v>1000000</v>
      </c>
      <c r="E13" s="24" t="s">
        <v>56</v>
      </c>
      <c r="F13" s="24"/>
      <c r="G13" s="24"/>
      <c r="H13" s="24"/>
      <c r="I13" s="23">
        <v>1991</v>
      </c>
      <c r="J13" s="24"/>
      <c r="K13" s="24"/>
      <c r="L13" s="24"/>
      <c r="M13" s="24"/>
    </row>
    <row r="14" spans="1:16" ht="16.5" thickTop="1" thickBot="1" x14ac:dyDescent="0.3">
      <c r="A14" s="24"/>
      <c r="B14" s="24"/>
      <c r="C14" s="24"/>
      <c r="D14" s="24"/>
      <c r="E14" s="24" t="s">
        <v>57</v>
      </c>
      <c r="F14" s="24"/>
      <c r="G14" s="24"/>
      <c r="H14" s="24"/>
      <c r="I14" s="23">
        <v>1992</v>
      </c>
      <c r="J14" s="24"/>
      <c r="K14" s="24"/>
      <c r="L14" s="24"/>
      <c r="M14" s="24"/>
    </row>
    <row r="15" spans="1:16" ht="16.5" thickTop="1" thickBot="1" x14ac:dyDescent="0.3">
      <c r="A15" s="24"/>
      <c r="B15" s="24"/>
      <c r="C15" s="24"/>
      <c r="D15" s="24"/>
      <c r="E15" s="24" t="s">
        <v>58</v>
      </c>
      <c r="F15" s="24"/>
      <c r="G15" s="24"/>
      <c r="H15" s="24"/>
      <c r="I15" s="23">
        <v>1993</v>
      </c>
      <c r="J15" s="24"/>
      <c r="K15" s="24"/>
      <c r="L15" s="24"/>
      <c r="M15" s="24"/>
    </row>
    <row r="16" spans="1:16" ht="16.5" thickTop="1" thickBot="1" x14ac:dyDescent="0.3">
      <c r="A16" s="24"/>
      <c r="B16" s="24"/>
      <c r="C16" s="24"/>
      <c r="D16" s="24"/>
      <c r="E16" s="24" t="s">
        <v>59</v>
      </c>
      <c r="F16" s="24"/>
      <c r="G16" s="24"/>
      <c r="H16" s="24"/>
      <c r="I16" s="23">
        <v>1994</v>
      </c>
      <c r="J16" s="24"/>
      <c r="K16" s="24"/>
      <c r="L16" s="24"/>
      <c r="M16" s="24"/>
    </row>
    <row r="17" spans="1:13" ht="16.5" thickTop="1" thickBot="1" x14ac:dyDescent="0.3">
      <c r="A17" s="24"/>
      <c r="B17" s="24"/>
      <c r="C17" s="24"/>
      <c r="D17" s="24"/>
      <c r="E17" s="24" t="s">
        <v>60</v>
      </c>
      <c r="F17" s="24"/>
      <c r="G17" s="24"/>
      <c r="H17" s="24"/>
      <c r="I17" s="23">
        <v>1995</v>
      </c>
      <c r="J17" s="24"/>
      <c r="K17" s="24"/>
      <c r="L17" s="24"/>
      <c r="M17" s="24"/>
    </row>
    <row r="18" spans="1:13" ht="16.5" thickTop="1" thickBot="1" x14ac:dyDescent="0.3">
      <c r="A18" s="24"/>
      <c r="B18" s="24"/>
      <c r="C18" s="24"/>
      <c r="D18" s="24"/>
      <c r="E18" s="24" t="s">
        <v>61</v>
      </c>
      <c r="F18" s="24"/>
      <c r="G18" s="24"/>
      <c r="H18" s="24"/>
      <c r="I18" s="23">
        <v>1996</v>
      </c>
      <c r="J18" s="24"/>
      <c r="K18" s="24"/>
      <c r="L18" s="24"/>
      <c r="M18" s="24"/>
    </row>
    <row r="19" spans="1:13" ht="16.5" thickTop="1" thickBot="1" x14ac:dyDescent="0.3">
      <c r="A19" s="24"/>
      <c r="B19" s="24"/>
      <c r="C19" s="24"/>
      <c r="D19" s="24"/>
      <c r="E19" s="24" t="s">
        <v>62</v>
      </c>
      <c r="F19" s="24"/>
      <c r="G19" s="24"/>
      <c r="H19" s="24"/>
      <c r="I19" s="23">
        <v>1997</v>
      </c>
      <c r="J19" s="24"/>
      <c r="K19" s="24"/>
      <c r="L19" s="24"/>
      <c r="M19" s="24"/>
    </row>
    <row r="20" spans="1:13" ht="16.5" thickTop="1" thickBot="1" x14ac:dyDescent="0.3">
      <c r="A20" s="24"/>
      <c r="B20" s="24"/>
      <c r="C20" s="24"/>
      <c r="D20" s="24"/>
      <c r="E20" s="24"/>
      <c r="F20" s="24"/>
      <c r="G20" s="24"/>
      <c r="H20" s="24"/>
      <c r="I20" s="23">
        <v>1998</v>
      </c>
      <c r="J20" s="24"/>
      <c r="K20" s="24"/>
      <c r="L20" s="24"/>
      <c r="M20" s="24"/>
    </row>
    <row r="21" spans="1:13" ht="16.5" thickTop="1" thickBot="1" x14ac:dyDescent="0.3">
      <c r="A21" s="24"/>
      <c r="B21" s="24"/>
      <c r="C21" s="24"/>
      <c r="D21" s="24"/>
      <c r="E21" s="24"/>
      <c r="F21" s="24"/>
      <c r="G21" s="24"/>
      <c r="H21" s="24"/>
      <c r="I21" s="23">
        <v>1999</v>
      </c>
      <c r="J21" s="24"/>
      <c r="K21" s="24"/>
      <c r="L21" s="24"/>
      <c r="M21" s="24"/>
    </row>
    <row r="22" spans="1:13" ht="16.5" thickTop="1" thickBot="1" x14ac:dyDescent="0.3">
      <c r="A22" s="24"/>
      <c r="B22" s="24"/>
      <c r="C22" s="24"/>
      <c r="D22" s="24"/>
      <c r="E22" s="24"/>
      <c r="F22" s="24"/>
      <c r="G22" s="24"/>
      <c r="H22" s="24"/>
      <c r="I22" s="23">
        <v>2000</v>
      </c>
      <c r="J22" s="24"/>
      <c r="K22" s="24"/>
      <c r="L22" s="24"/>
      <c r="M22" s="24"/>
    </row>
    <row r="23" spans="1:13" ht="16.5" thickTop="1" thickBot="1" x14ac:dyDescent="0.3">
      <c r="A23" s="24"/>
      <c r="B23" s="24"/>
      <c r="C23" s="24"/>
      <c r="D23" s="24"/>
      <c r="E23" s="24"/>
      <c r="F23" s="24"/>
      <c r="G23" s="24"/>
      <c r="H23" s="24"/>
      <c r="I23" s="23">
        <v>2001</v>
      </c>
      <c r="J23" s="24"/>
      <c r="K23" s="24"/>
      <c r="L23" s="24"/>
      <c r="M23" s="24"/>
    </row>
    <row r="24" spans="1:13" ht="16.5" thickTop="1" thickBot="1" x14ac:dyDescent="0.3">
      <c r="A24" s="24"/>
      <c r="B24" s="24"/>
      <c r="C24" s="24"/>
      <c r="D24" s="24"/>
      <c r="E24" s="24"/>
      <c r="F24" s="24"/>
      <c r="G24" s="24"/>
      <c r="H24" s="24"/>
      <c r="I24" s="23">
        <v>2002</v>
      </c>
      <c r="J24" s="24"/>
      <c r="K24" s="24"/>
      <c r="L24" s="24"/>
      <c r="M24" s="24"/>
    </row>
    <row r="25" spans="1:13" ht="16.5" thickTop="1" thickBot="1" x14ac:dyDescent="0.3">
      <c r="A25" s="24"/>
      <c r="B25" s="24"/>
      <c r="C25" s="24"/>
      <c r="D25" s="24"/>
      <c r="E25" s="24"/>
      <c r="F25" s="24"/>
      <c r="G25" s="24"/>
      <c r="H25" s="24"/>
      <c r="I25" s="23">
        <v>2003</v>
      </c>
      <c r="J25" s="24"/>
      <c r="K25" s="24"/>
      <c r="L25" s="24"/>
      <c r="M25" s="24"/>
    </row>
    <row r="26" spans="1:13" ht="16.5" thickTop="1" thickBot="1" x14ac:dyDescent="0.3">
      <c r="A26" s="24"/>
      <c r="B26" s="24"/>
      <c r="C26" s="24"/>
      <c r="D26" s="24"/>
      <c r="E26" s="24"/>
      <c r="F26" s="24"/>
      <c r="G26" s="24"/>
      <c r="H26" s="24"/>
      <c r="I26" s="23">
        <v>2004</v>
      </c>
      <c r="J26" s="24"/>
      <c r="K26" s="24"/>
      <c r="L26" s="24"/>
      <c r="M26" s="24"/>
    </row>
    <row r="27" spans="1:13" ht="16.5" thickTop="1" thickBot="1" x14ac:dyDescent="0.3">
      <c r="A27" s="24"/>
      <c r="B27" s="24"/>
      <c r="C27" s="24"/>
      <c r="D27" s="24"/>
      <c r="E27" s="24"/>
      <c r="F27" s="24"/>
      <c r="G27" s="24"/>
      <c r="H27" s="24"/>
      <c r="I27" s="23">
        <v>2005</v>
      </c>
      <c r="J27" s="24"/>
      <c r="K27" s="24"/>
      <c r="L27" s="24"/>
      <c r="M27" s="24"/>
    </row>
    <row r="28" spans="1:13" ht="16.5" thickTop="1" thickBot="1" x14ac:dyDescent="0.3">
      <c r="A28" s="24"/>
      <c r="B28" s="24"/>
      <c r="C28" s="24"/>
      <c r="D28" s="24"/>
      <c r="E28" s="24"/>
      <c r="F28" s="24"/>
      <c r="G28" s="24"/>
      <c r="H28" s="24"/>
      <c r="I28" s="23">
        <v>2006</v>
      </c>
      <c r="J28" s="24"/>
      <c r="K28" s="24"/>
      <c r="L28" s="24"/>
      <c r="M28" s="24"/>
    </row>
    <row r="29" spans="1:13" ht="16.5" thickTop="1" thickBot="1" x14ac:dyDescent="0.3">
      <c r="A29" s="24"/>
      <c r="B29" s="24"/>
      <c r="C29" s="24"/>
      <c r="D29" s="24"/>
      <c r="E29" s="24"/>
      <c r="F29" s="24"/>
      <c r="G29" s="24"/>
      <c r="H29" s="24"/>
      <c r="I29" s="23">
        <v>2007</v>
      </c>
      <c r="J29" s="24"/>
      <c r="K29" s="24"/>
      <c r="L29" s="24"/>
      <c r="M29" s="24"/>
    </row>
    <row r="30" spans="1:13" ht="16.5" thickTop="1" thickBot="1" x14ac:dyDescent="0.3">
      <c r="A30" s="24"/>
      <c r="B30" s="24"/>
      <c r="C30" s="24"/>
      <c r="D30" s="24"/>
      <c r="E30" s="24"/>
      <c r="F30" s="24"/>
      <c r="G30" s="24"/>
      <c r="H30" s="24"/>
      <c r="I30" s="23">
        <v>2008</v>
      </c>
      <c r="J30" s="24"/>
      <c r="K30" s="24"/>
      <c r="L30" s="24"/>
      <c r="M30" s="24"/>
    </row>
    <row r="31" spans="1:13" ht="16.5" thickTop="1" thickBot="1" x14ac:dyDescent="0.3">
      <c r="A31" s="24"/>
      <c r="B31" s="24"/>
      <c r="C31" s="24"/>
      <c r="D31" s="24"/>
      <c r="E31" s="24"/>
      <c r="F31" s="24"/>
      <c r="G31" s="24"/>
      <c r="H31" s="24"/>
      <c r="I31" s="23">
        <v>2009</v>
      </c>
      <c r="J31" s="24"/>
      <c r="K31" s="24"/>
      <c r="L31" s="24"/>
      <c r="M31" s="24"/>
    </row>
    <row r="32" spans="1:13" ht="16.5" thickTop="1" thickBot="1" x14ac:dyDescent="0.3">
      <c r="A32" s="24"/>
      <c r="B32" s="24"/>
      <c r="C32" s="24"/>
      <c r="D32" s="24"/>
      <c r="E32" s="24"/>
      <c r="F32" s="24"/>
      <c r="G32" s="24"/>
      <c r="H32" s="24"/>
      <c r="I32" s="23">
        <v>2010</v>
      </c>
      <c r="J32" s="24"/>
      <c r="K32" s="24"/>
      <c r="L32" s="24"/>
      <c r="M32" s="24"/>
    </row>
    <row r="33" spans="1:13" ht="16.5" thickTop="1" thickBot="1" x14ac:dyDescent="0.3">
      <c r="A33" s="24"/>
      <c r="B33" s="24"/>
      <c r="C33" s="24"/>
      <c r="D33" s="24"/>
      <c r="E33" s="24"/>
      <c r="F33" s="24"/>
      <c r="G33" s="24"/>
      <c r="H33" s="24"/>
      <c r="I33" s="23">
        <v>2011</v>
      </c>
      <c r="J33" s="24"/>
      <c r="K33" s="24"/>
      <c r="L33" s="24"/>
      <c r="M33" s="24"/>
    </row>
    <row r="34" spans="1:13" ht="16.5" thickTop="1" thickBot="1" x14ac:dyDescent="0.3">
      <c r="A34" s="24"/>
      <c r="B34" s="24"/>
      <c r="C34" s="24"/>
      <c r="D34" s="24"/>
      <c r="E34" s="24"/>
      <c r="F34" s="24"/>
      <c r="G34" s="24"/>
      <c r="H34" s="24"/>
      <c r="I34" s="23">
        <v>2012</v>
      </c>
      <c r="J34" s="24"/>
      <c r="K34" s="24"/>
      <c r="L34" s="24"/>
      <c r="M34" s="24"/>
    </row>
    <row r="35" spans="1:13" ht="16.5" thickTop="1" thickBot="1" x14ac:dyDescent="0.3">
      <c r="A35" s="24"/>
      <c r="B35" s="24"/>
      <c r="C35" s="24"/>
      <c r="D35" s="24"/>
      <c r="E35" s="24"/>
      <c r="F35" s="24"/>
      <c r="G35" s="24"/>
      <c r="H35" s="24"/>
      <c r="I35" s="23">
        <v>2013</v>
      </c>
      <c r="J35" s="24"/>
      <c r="K35" s="24"/>
      <c r="L35" s="24"/>
      <c r="M35" s="24"/>
    </row>
    <row r="36" spans="1:13" ht="16.5" thickTop="1" thickBot="1" x14ac:dyDescent="0.3">
      <c r="A36" s="24"/>
      <c r="B36" s="24"/>
      <c r="C36" s="24"/>
      <c r="D36" s="24"/>
      <c r="E36" s="24"/>
      <c r="F36" s="24"/>
      <c r="G36" s="24"/>
      <c r="H36" s="24"/>
      <c r="I36" s="23">
        <v>2014</v>
      </c>
      <c r="J36" s="24"/>
      <c r="K36" s="24"/>
      <c r="L36" s="24"/>
      <c r="M36" s="24"/>
    </row>
    <row r="37" spans="1:13" ht="16.5" thickTop="1" thickBot="1" x14ac:dyDescent="0.3">
      <c r="A37" s="24"/>
      <c r="B37" s="24"/>
      <c r="C37" s="24"/>
      <c r="D37" s="24"/>
      <c r="E37" s="24"/>
      <c r="F37" s="24"/>
      <c r="G37" s="24"/>
      <c r="H37" s="24"/>
      <c r="I37" s="23">
        <v>2015</v>
      </c>
      <c r="J37" s="24"/>
      <c r="K37" s="24"/>
      <c r="L37" s="24"/>
      <c r="M37" s="24"/>
    </row>
    <row r="38" spans="1:13" ht="16.5" thickTop="1" thickBot="1" x14ac:dyDescent="0.3">
      <c r="A38" s="24"/>
      <c r="B38" s="24"/>
      <c r="C38" s="24"/>
      <c r="D38" s="24"/>
      <c r="E38" s="24"/>
      <c r="F38" s="24"/>
      <c r="G38" s="24"/>
      <c r="H38" s="24"/>
      <c r="I38" s="23">
        <v>2016</v>
      </c>
      <c r="J38" s="24"/>
      <c r="K38" s="24"/>
      <c r="L38" s="24"/>
      <c r="M38" s="24"/>
    </row>
    <row r="39" spans="1:13" ht="16.5" thickTop="1" thickBot="1" x14ac:dyDescent="0.3">
      <c r="A39" s="24"/>
      <c r="B39" s="24"/>
      <c r="C39" s="24"/>
      <c r="D39" s="24"/>
      <c r="E39" s="24"/>
      <c r="F39" s="24"/>
      <c r="G39" s="24"/>
      <c r="H39" s="24"/>
      <c r="I39" s="23">
        <v>2017</v>
      </c>
      <c r="J39" s="24"/>
      <c r="K39" s="24"/>
      <c r="L39" s="24"/>
      <c r="M39" s="24"/>
    </row>
    <row r="40" spans="1:13" ht="16.5" thickTop="1" thickBot="1" x14ac:dyDescent="0.3">
      <c r="A40" s="24"/>
      <c r="B40" s="24"/>
      <c r="C40" s="24"/>
      <c r="D40" s="24"/>
      <c r="E40" s="24"/>
      <c r="F40" s="24"/>
      <c r="G40" s="24"/>
      <c r="H40" s="24"/>
      <c r="I40" s="23">
        <v>2018</v>
      </c>
      <c r="J40" s="24"/>
      <c r="K40" s="24"/>
      <c r="L40" s="24"/>
      <c r="M40" s="24"/>
    </row>
    <row r="41" spans="1:13" ht="16.5" thickTop="1" thickBot="1" x14ac:dyDescent="0.3">
      <c r="A41" s="24"/>
      <c r="B41" s="24"/>
      <c r="C41" s="24"/>
      <c r="D41" s="24"/>
      <c r="E41" s="24"/>
      <c r="F41" s="24"/>
      <c r="G41" s="24"/>
      <c r="H41" s="24"/>
      <c r="I41" s="23">
        <v>2019</v>
      </c>
      <c r="J41" s="24"/>
      <c r="K41" s="24"/>
      <c r="L41" s="24"/>
      <c r="M41" s="24"/>
    </row>
    <row r="42" spans="1:13" ht="16.5" thickTop="1" thickBot="1" x14ac:dyDescent="0.3">
      <c r="A42" s="24"/>
      <c r="B42" s="24"/>
      <c r="C42" s="24"/>
      <c r="D42" s="24"/>
      <c r="E42" s="24"/>
      <c r="F42" s="24"/>
      <c r="G42" s="24"/>
      <c r="H42" s="24"/>
      <c r="I42" s="23">
        <v>2020</v>
      </c>
      <c r="J42" s="24"/>
      <c r="K42" s="24"/>
      <c r="L42" s="24"/>
      <c r="M42" s="24"/>
    </row>
    <row r="43" spans="1:13" ht="16.5" thickTop="1" thickBot="1" x14ac:dyDescent="0.3">
      <c r="A43" s="23"/>
      <c r="B43" s="23"/>
      <c r="C43" s="23"/>
      <c r="D43" s="23"/>
      <c r="E43" s="23"/>
      <c r="F43" s="23"/>
      <c r="G43" s="23"/>
      <c r="H43" s="23"/>
      <c r="I43" s="23">
        <v>2021</v>
      </c>
      <c r="J43" s="23"/>
      <c r="K43" s="23"/>
      <c r="L43" s="23"/>
      <c r="M43" s="23"/>
    </row>
    <row r="44" spans="1:13" ht="16.5" thickTop="1" thickBot="1" x14ac:dyDescent="0.3">
      <c r="A44" s="23"/>
      <c r="B44" s="23"/>
      <c r="C44" s="23"/>
      <c r="D44" s="23"/>
      <c r="E44" s="23"/>
      <c r="F44" s="23"/>
      <c r="G44" s="23"/>
      <c r="H44" s="23"/>
      <c r="I44" s="23">
        <v>2022</v>
      </c>
      <c r="J44" s="23"/>
      <c r="K44" s="23"/>
      <c r="L44" s="23"/>
      <c r="M44" s="23"/>
    </row>
    <row r="45" spans="1:13" ht="16.5" thickTop="1" thickBot="1" x14ac:dyDescent="0.3">
      <c r="A45" s="23"/>
      <c r="B45" s="23"/>
      <c r="C45" s="23"/>
      <c r="D45" s="23"/>
      <c r="E45" s="23"/>
      <c r="F45" s="23"/>
      <c r="G45" s="23"/>
      <c r="H45" s="23"/>
      <c r="I45" s="23">
        <v>2023</v>
      </c>
      <c r="J45" s="23"/>
      <c r="K45" s="23"/>
      <c r="L45" s="23"/>
      <c r="M45" s="23"/>
    </row>
    <row r="46" spans="1:13" ht="16.5" thickTop="1" thickBot="1" x14ac:dyDescent="0.3">
      <c r="I46" s="23">
        <v>2024</v>
      </c>
    </row>
    <row r="47" spans="1:13" ht="16.5" thickTop="1" thickBot="1" x14ac:dyDescent="0.3">
      <c r="I47" s="23">
        <v>2025</v>
      </c>
    </row>
    <row r="48" spans="1:13" ht="16.5" thickTop="1" thickBot="1" x14ac:dyDescent="0.3">
      <c r="I48" s="23">
        <v>2026</v>
      </c>
    </row>
    <row r="49" spans="9:9" ht="16.5" thickTop="1" thickBot="1" x14ac:dyDescent="0.3">
      <c r="I49" s="23">
        <v>2027</v>
      </c>
    </row>
    <row r="50" spans="9:9" ht="16.5" thickTop="1" thickBot="1" x14ac:dyDescent="0.3">
      <c r="I50" s="23">
        <v>2028</v>
      </c>
    </row>
    <row r="51" spans="9:9" ht="16.5" thickTop="1" thickBot="1" x14ac:dyDescent="0.3">
      <c r="I51" s="23">
        <v>2029</v>
      </c>
    </row>
    <row r="52" spans="9:9" ht="16.5" thickTop="1" thickBot="1" x14ac:dyDescent="0.3">
      <c r="I52" s="23">
        <v>2030</v>
      </c>
    </row>
    <row r="53" spans="9:9" ht="16.5" thickTop="1" thickBot="1" x14ac:dyDescent="0.3">
      <c r="I53" s="23">
        <v>2031</v>
      </c>
    </row>
    <row r="54" spans="9:9" ht="16.5" thickTop="1" thickBot="1" x14ac:dyDescent="0.3">
      <c r="I54" s="23">
        <v>2032</v>
      </c>
    </row>
    <row r="55" spans="9:9" ht="16.5" thickTop="1" thickBot="1" x14ac:dyDescent="0.3">
      <c r="I55" s="23">
        <v>2033</v>
      </c>
    </row>
    <row r="56" spans="9:9" ht="16.5" thickTop="1" thickBot="1" x14ac:dyDescent="0.3">
      <c r="I56" s="23">
        <v>2034</v>
      </c>
    </row>
    <row r="57" spans="9:9" ht="16.5" thickTop="1" thickBot="1" x14ac:dyDescent="0.3">
      <c r="I57" s="23">
        <v>2035</v>
      </c>
    </row>
    <row r="58" spans="9:9" ht="16.5" thickTop="1" thickBot="1" x14ac:dyDescent="0.3">
      <c r="I58" s="23">
        <v>2036</v>
      </c>
    </row>
    <row r="59" spans="9:9" ht="16.5" thickTop="1" thickBot="1" x14ac:dyDescent="0.3">
      <c r="I59" s="23">
        <v>2037</v>
      </c>
    </row>
    <row r="60" spans="9:9" ht="16.5" thickTop="1" thickBot="1" x14ac:dyDescent="0.3">
      <c r="I60" s="23">
        <v>2038</v>
      </c>
    </row>
    <row r="61" spans="9:9" ht="16.5" thickTop="1" thickBot="1" x14ac:dyDescent="0.3">
      <c r="I61" s="23">
        <v>2039</v>
      </c>
    </row>
    <row r="62" spans="9:9" ht="16.5" thickTop="1" thickBot="1" x14ac:dyDescent="0.3">
      <c r="I62" s="23">
        <v>2040</v>
      </c>
    </row>
    <row r="63" spans="9:9" ht="16.5" thickTop="1" thickBot="1" x14ac:dyDescent="0.3">
      <c r="I63" s="23">
        <v>2041</v>
      </c>
    </row>
    <row r="64" spans="9:9" ht="16.5" thickTop="1" thickBot="1" x14ac:dyDescent="0.3">
      <c r="I64" s="23">
        <v>2042</v>
      </c>
    </row>
    <row r="65" spans="9:9" ht="16.5" thickTop="1" thickBot="1" x14ac:dyDescent="0.3">
      <c r="I65" s="23">
        <v>2043</v>
      </c>
    </row>
    <row r="66" spans="9:9" ht="16.5" thickTop="1" thickBot="1" x14ac:dyDescent="0.3">
      <c r="I66" s="23">
        <v>2044</v>
      </c>
    </row>
    <row r="67" spans="9:9" ht="16.5" thickTop="1" thickBot="1" x14ac:dyDescent="0.3">
      <c r="I67" s="23">
        <v>2045</v>
      </c>
    </row>
    <row r="68" spans="9:9" ht="16.5" thickTop="1" thickBot="1" x14ac:dyDescent="0.3">
      <c r="I68" s="23">
        <v>2046</v>
      </c>
    </row>
    <row r="69" spans="9:9" ht="16.5" thickTop="1" thickBot="1" x14ac:dyDescent="0.3">
      <c r="I69" s="23">
        <v>2047</v>
      </c>
    </row>
    <row r="70" spans="9:9" ht="16.5" thickTop="1" thickBot="1" x14ac:dyDescent="0.3">
      <c r="I70" s="23">
        <v>2048</v>
      </c>
    </row>
    <row r="71" spans="9:9" ht="16.5" thickTop="1" thickBot="1" x14ac:dyDescent="0.3">
      <c r="I71" s="23">
        <v>2049</v>
      </c>
    </row>
    <row r="72" spans="9:9" ht="16.5" thickTop="1" thickBot="1" x14ac:dyDescent="0.3">
      <c r="I72" s="23">
        <v>2050</v>
      </c>
    </row>
    <row r="73" spans="9:9" ht="16.5" thickTop="1" thickBot="1" x14ac:dyDescent="0.3">
      <c r="I73" s="23">
        <v>2051</v>
      </c>
    </row>
    <row r="74" spans="9:9" ht="16.5" thickTop="1" thickBot="1" x14ac:dyDescent="0.3">
      <c r="I74" s="23">
        <v>2052</v>
      </c>
    </row>
    <row r="75" spans="9:9" ht="16.5" thickTop="1" thickBot="1" x14ac:dyDescent="0.3">
      <c r="I75" s="23">
        <v>2053</v>
      </c>
    </row>
    <row r="76" spans="9:9" ht="16.5" thickTop="1" thickBot="1" x14ac:dyDescent="0.3">
      <c r="I76" s="23">
        <v>2054</v>
      </c>
    </row>
    <row r="77" spans="9:9" ht="16.5" thickTop="1" thickBot="1" x14ac:dyDescent="0.3">
      <c r="I77" s="23">
        <v>2055</v>
      </c>
    </row>
    <row r="78" spans="9:9" ht="16.5" thickTop="1" thickBot="1" x14ac:dyDescent="0.3">
      <c r="I78" s="23">
        <v>2056</v>
      </c>
    </row>
    <row r="79" spans="9:9" ht="16.5" thickTop="1" thickBot="1" x14ac:dyDescent="0.3">
      <c r="I79" s="23">
        <v>2057</v>
      </c>
    </row>
    <row r="80" spans="9:9" ht="16.5" thickTop="1" thickBot="1" x14ac:dyDescent="0.3">
      <c r="I80" s="23">
        <v>2058</v>
      </c>
    </row>
    <row r="81" spans="9:9" ht="16.5" thickTop="1" thickBot="1" x14ac:dyDescent="0.3">
      <c r="I81" s="23">
        <v>2059</v>
      </c>
    </row>
    <row r="82" spans="9:9" ht="16.5" thickTop="1" thickBot="1" x14ac:dyDescent="0.3">
      <c r="I82" s="23">
        <v>2060</v>
      </c>
    </row>
    <row r="83" spans="9:9" ht="16.5" thickTop="1" thickBot="1" x14ac:dyDescent="0.3">
      <c r="I83" s="23">
        <v>2061</v>
      </c>
    </row>
    <row r="84" spans="9:9" ht="16.5" thickTop="1" thickBot="1" x14ac:dyDescent="0.3">
      <c r="I84" s="23">
        <v>2062</v>
      </c>
    </row>
    <row r="85" spans="9:9" ht="16.5" thickTop="1" thickBot="1" x14ac:dyDescent="0.3">
      <c r="I85" s="23">
        <v>2063</v>
      </c>
    </row>
    <row r="86" spans="9:9" ht="16.5" thickTop="1" thickBot="1" x14ac:dyDescent="0.3">
      <c r="I86" s="23">
        <v>2064</v>
      </c>
    </row>
    <row r="87" spans="9:9" ht="16.5" thickTop="1" thickBot="1" x14ac:dyDescent="0.3">
      <c r="I87" s="23">
        <v>2065</v>
      </c>
    </row>
    <row r="88" spans="9:9" ht="16.5" thickTop="1" thickBot="1" x14ac:dyDescent="0.3">
      <c r="I88" s="23">
        <v>2066</v>
      </c>
    </row>
    <row r="89" spans="9:9" ht="16.5" thickTop="1" thickBot="1" x14ac:dyDescent="0.3">
      <c r="I89" s="23">
        <v>2067</v>
      </c>
    </row>
    <row r="90" spans="9:9" ht="16.5" thickTop="1" thickBot="1" x14ac:dyDescent="0.3">
      <c r="I90" s="23">
        <v>2068</v>
      </c>
    </row>
    <row r="91" spans="9:9" ht="16.5" thickTop="1" thickBot="1" x14ac:dyDescent="0.3">
      <c r="I91" s="23">
        <v>2069</v>
      </c>
    </row>
    <row r="92" spans="9:9" ht="16.5" thickTop="1" thickBot="1" x14ac:dyDescent="0.3">
      <c r="I92" s="23">
        <v>2070</v>
      </c>
    </row>
    <row r="93" spans="9:9" ht="16.5" thickTop="1" thickBot="1" x14ac:dyDescent="0.3">
      <c r="I93" s="23">
        <v>2071</v>
      </c>
    </row>
    <row r="94" spans="9:9" ht="16.5" thickTop="1" thickBot="1" x14ac:dyDescent="0.3">
      <c r="I94" s="23">
        <v>2072</v>
      </c>
    </row>
    <row r="95" spans="9:9" ht="15.75" thickTop="1" x14ac:dyDescent="0.25"/>
  </sheetData>
  <autoFilter ref="A1:F19"/>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30</vt:i4>
      </vt:variant>
    </vt:vector>
  </HeadingPairs>
  <TitlesOfParts>
    <vt:vector size="39" baseType="lpstr">
      <vt:lpstr>Summary</vt:lpstr>
      <vt:lpstr>Feature Support</vt:lpstr>
      <vt:lpstr>Basic Sensings</vt:lpstr>
      <vt:lpstr>DATA Misc</vt:lpstr>
      <vt:lpstr>Functions</vt:lpstr>
      <vt:lpstr>Functions CMDs</vt:lpstr>
      <vt:lpstr>Remote Start</vt:lpstr>
      <vt:lpstr>Sense Group</vt:lpstr>
      <vt:lpstr>formulas_data tables</vt:lpstr>
      <vt:lpstr>ACTIVE</vt:lpstr>
      <vt:lpstr>baud</vt:lpstr>
      <vt:lpstr>baudrate</vt:lpstr>
      <vt:lpstr>Brake</vt:lpstr>
      <vt:lpstr>Broadcast</vt:lpstr>
      <vt:lpstr>byteLocation</vt:lpstr>
      <vt:lpstr>can</vt:lpstr>
      <vt:lpstr>CAN_P</vt:lpstr>
      <vt:lpstr>CAN_Type</vt:lpstr>
      <vt:lpstr>canOne</vt:lpstr>
      <vt:lpstr>canTwo</vt:lpstr>
      <vt:lpstr>car</vt:lpstr>
      <vt:lpstr>carType</vt:lpstr>
      <vt:lpstr>dataType</vt:lpstr>
      <vt:lpstr>make</vt:lpstr>
      <vt:lpstr>model</vt:lpstr>
      <vt:lpstr>N_A</vt:lpstr>
      <vt:lpstr>Polarity</vt:lpstr>
      <vt:lpstr>signal</vt:lpstr>
      <vt:lpstr>STATE</vt:lpstr>
      <vt:lpstr>tran</vt:lpstr>
      <vt:lpstr>'Basic Sensings'!Transmission</vt:lpstr>
      <vt:lpstr>Functions!Transmission</vt:lpstr>
      <vt:lpstr>'Remote Start'!Transmission</vt:lpstr>
      <vt:lpstr>Summary!Transmission</vt:lpstr>
      <vt:lpstr>type</vt:lpstr>
      <vt:lpstr>units</vt:lpstr>
      <vt:lpstr>vehicleYear</vt:lpstr>
      <vt:lpstr>Year</vt:lpstr>
      <vt:lpstr>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Elie Issa;Huiyi Wang</dc:creator>
  <cp:lastModifiedBy>Martin Carufel</cp:lastModifiedBy>
  <dcterms:created xsi:type="dcterms:W3CDTF">2016-05-11T19:19:38Z</dcterms:created>
  <dcterms:modified xsi:type="dcterms:W3CDTF">2019-07-19T14:43:21Z</dcterms:modified>
</cp:coreProperties>
</file>