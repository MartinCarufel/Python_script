
<file path=[Content_Types].xml><?xml version="1.0" encoding="utf-8"?>
<Types xmlns="http://schemas.openxmlformats.org/package/2006/content-types">
  <Default Extension="bin" ContentType="application/vnd.ms-office.vbaProject"/>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Users\martin.carufel\Documents\Python_script\Copy_excel_range\"/>
    </mc:Choice>
  </mc:AlternateContent>
  <bookViews>
    <workbookView xWindow="0" yWindow="0" windowWidth="15090" windowHeight="6480" tabRatio="711" activeTab="2"/>
  </bookViews>
  <sheets>
    <sheet name="Summary" sheetId="1" r:id="rId1"/>
    <sheet name="Feature Support" sheetId="2" r:id="rId2"/>
    <sheet name="Basic Sensings" sheetId="3" r:id="rId3"/>
    <sheet name="DATA Misc" sheetId="4" r:id="rId4"/>
    <sheet name="Module enable" sheetId="5" r:id="rId5"/>
    <sheet name="Functions" sheetId="6" r:id="rId6"/>
    <sheet name="Functions CMDs" sheetId="7" r:id="rId7"/>
    <sheet name="Remote Start" sheetId="8" r:id="rId8"/>
    <sheet name="Sense Group" sheetId="9" r:id="rId9"/>
    <sheet name="SensingDataBase" sheetId="10" r:id="rId10"/>
    <sheet name="m2mFormatLUT" sheetId="11" r:id="rId11"/>
    <sheet name="formulas_data tables" sheetId="12" r:id="rId12"/>
    <sheet name="Input" sheetId="13" r:id="rId13"/>
    <sheet name="OBDII" sheetId="14" r:id="rId14"/>
    <sheet name="Watchdog" sheetId="15" r:id="rId15"/>
  </sheets>
  <externalReferences>
    <externalReference r:id="rId16"/>
    <externalReference r:id="rId17"/>
    <externalReference r:id="rId18"/>
    <externalReference r:id="rId19"/>
  </externalReferences>
  <definedNames>
    <definedName name="ACTIVE" localSheetId="12">'[1]formulas_data tables'!$N$2:$N$3</definedName>
    <definedName name="ACTIVE" localSheetId="10">'[2]formulas_data tables'!$N$2:$N$3</definedName>
    <definedName name="ACTIVE" localSheetId="4">'[3]formulas_data tables'!$N$2:$N$3</definedName>
    <definedName name="ACTIVE" localSheetId="13">'[2]formulas_data tables'!$N$2:$N$3</definedName>
    <definedName name="ACTIVE" localSheetId="9">'[2]formulas_data tables'!$N$2:$N$3</definedName>
    <definedName name="ACTIVE" localSheetId="14">'[2]formulas_data tables'!$N$2:$N$3</definedName>
    <definedName name="ACTIVE">'formulas_data tables'!$N$2:$N$3</definedName>
    <definedName name="baud" localSheetId="12">'[1]formulas_data tables'!$D$2:$D$13</definedName>
    <definedName name="baud" localSheetId="10">'[2]formulas_data tables'!$D$2:$D$13</definedName>
    <definedName name="baud" localSheetId="4">'[3]formulas_data tables'!$D$2:$D$13</definedName>
    <definedName name="baud" localSheetId="13">'[2]formulas_data tables'!$D$2:$D$13</definedName>
    <definedName name="baud" localSheetId="9">'[2]formulas_data tables'!$D$2:$D$13</definedName>
    <definedName name="baud" localSheetId="14">'[2]formulas_data tables'!$D$2:$D$13</definedName>
    <definedName name="baud">'formulas_data tables'!$D$2:$D$13</definedName>
    <definedName name="baudrate">'formulas_data tables'!$D$3:$D$13</definedName>
    <definedName name="Brake">'formulas_data tables'!$G$3:$G$4</definedName>
    <definedName name="Broadcast">'formulas_data tables'!$H$3:$H$4</definedName>
    <definedName name="byteLocation">'formulas_data tables'!$F$3:$F$11</definedName>
    <definedName name="can" localSheetId="12">'[1]formulas_data tables'!$J$2:$J$3</definedName>
    <definedName name="can" localSheetId="10">'[2]formulas_data tables'!$J$2:$J$3</definedName>
    <definedName name="can" localSheetId="4">'[3]formulas_data tables'!$J$2:$J$3</definedName>
    <definedName name="can" localSheetId="13">'[2]formulas_data tables'!$J$2:$J$3</definedName>
    <definedName name="can" localSheetId="9">'[2]formulas_data tables'!$J$2:$J$3</definedName>
    <definedName name="can" localSheetId="14">'[2]formulas_data tables'!$J$2:$J$3</definedName>
    <definedName name="can">'formulas_data tables'!$J$2:$J$3</definedName>
    <definedName name="CAN_P" localSheetId="12">'[1]formulas_data tables'!$J$2:$J$4</definedName>
    <definedName name="CAN_P" localSheetId="10">'[2]formulas_data tables'!$J$2:$J$4</definedName>
    <definedName name="CAN_P" localSheetId="4">'[3]formulas_data tables'!$J$2:$J$4</definedName>
    <definedName name="CAN_P" localSheetId="13">'[2]formulas_data tables'!$J$2:$J$4</definedName>
    <definedName name="CAN_P" localSheetId="9">'[2]formulas_data tables'!$J$2:$J$4</definedName>
    <definedName name="CAN_P" localSheetId="14">'[2]formulas_data tables'!$J$2:$J$4</definedName>
    <definedName name="CAN_P">'formulas_data tables'!$J$2:$J$4</definedName>
    <definedName name="CAN_Type" localSheetId="12">'[1]formulas_data tables'!$P$2:$P$3</definedName>
    <definedName name="CAN_Type" localSheetId="10">'[2]formulas_data tables'!$P$2:$P$3</definedName>
    <definedName name="CAN_Type" localSheetId="4">'[3]formulas_data tables'!$P$2:$P$3</definedName>
    <definedName name="CAN_Type" localSheetId="13">'[2]formulas_data tables'!$P$2:$P$3</definedName>
    <definedName name="CAN_Type" localSheetId="9">'[2]formulas_data tables'!$P$2:$P$3</definedName>
    <definedName name="CAN_Type" localSheetId="14">'[2]formulas_data tables'!$P$2:$P$3</definedName>
    <definedName name="CAN_Type">'formulas_data tables'!$P$2:$P$3</definedName>
    <definedName name="canOne">Summary!$F$2</definedName>
    <definedName name="canTwo">Summary!$H$2</definedName>
    <definedName name="car" localSheetId="12">[1]Summary!$E$2</definedName>
    <definedName name="car" localSheetId="10">[2]Summary!$E$2</definedName>
    <definedName name="car" localSheetId="4">[3]Summary!$E$2</definedName>
    <definedName name="car" localSheetId="13">[2]Summary!$E$2</definedName>
    <definedName name="car" localSheetId="9">[2]Summary!$E$2</definedName>
    <definedName name="car" localSheetId="14">[2]Summary!$E$2</definedName>
    <definedName name="car">Summary!$E$2</definedName>
    <definedName name="carType" localSheetId="12">'[1]formulas_data tables'!$C$3:$C$4</definedName>
    <definedName name="carType" localSheetId="10">'[2]formulas_data tables'!$C$3:$C$4</definedName>
    <definedName name="carType" localSheetId="4">'[3]formulas_data tables'!$C$3:$C$4</definedName>
    <definedName name="carType" localSheetId="13">'[2]formulas_data tables'!$C$3:$C$4</definedName>
    <definedName name="carType" localSheetId="9">'[2]formulas_data tables'!$C$3:$C$4</definedName>
    <definedName name="carType" localSheetId="14">'[2]formulas_data tables'!$C$3:$C$4</definedName>
    <definedName name="carType">'formulas_data tables'!$C$3:$C$4</definedName>
    <definedName name="dataType">'formulas_data tables'!$B$3:$B$4</definedName>
    <definedName name="ELSE">'formulas_data tables'!$AB$2:$AB$5</definedName>
    <definedName name="ELSEIF">'formulas_data tables'!$AA$2:$AA$5</definedName>
    <definedName name="IF">'formulas_data tables'!$Z$2:$Z$5</definedName>
    <definedName name="IF_ELSE" localSheetId="5">Functions!$C$4</definedName>
    <definedName name="make" localSheetId="12">[1]Summary!$B$2</definedName>
    <definedName name="make" localSheetId="10">[2]Summary!$B$2</definedName>
    <definedName name="make" localSheetId="4">[3]Summary!$B$2</definedName>
    <definedName name="make" localSheetId="13">[2]Summary!$B$2</definedName>
    <definedName name="make" localSheetId="9">[2]Summary!$B$2</definedName>
    <definedName name="make" localSheetId="14">[2]Summary!$B$2</definedName>
    <definedName name="make">Summary!$B$2</definedName>
    <definedName name="model" localSheetId="12">[1]Summary!$C$2</definedName>
    <definedName name="model" localSheetId="10">[2]Summary!$C$2</definedName>
    <definedName name="model" localSheetId="4">[3]Summary!$C$2</definedName>
    <definedName name="model" localSheetId="13">[2]Summary!$C$2</definedName>
    <definedName name="model" localSheetId="9">[2]Summary!$C$2</definedName>
    <definedName name="model" localSheetId="14">[2]Summary!$C$2</definedName>
    <definedName name="model">Summary!$C$2</definedName>
    <definedName name="N_A" localSheetId="12">'[1]formulas_data tables'!$G$2:$G$4</definedName>
    <definedName name="N_A" localSheetId="10">'[2]formulas_data tables'!$G$2:$G$4</definedName>
    <definedName name="N_A" localSheetId="4">'[3]formulas_data tables'!$G$2:$G$4</definedName>
    <definedName name="N_A" localSheetId="13">'[2]formulas_data tables'!$G$2:$G$4</definedName>
    <definedName name="N_A" localSheetId="9">'[2]formulas_data tables'!$G$2:$G$4</definedName>
    <definedName name="N_A" localSheetId="14">'[2]formulas_data tables'!$G$2:$G$4</definedName>
    <definedName name="N_A">'formulas_data tables'!$G$2:$G$4</definedName>
    <definedName name="Polarity" localSheetId="12">'[1]formulas_data tables'!$O$2:$O$5</definedName>
    <definedName name="Polarity" localSheetId="10">'[2]formulas_data tables'!$O$2:$O$5</definedName>
    <definedName name="Polarity" localSheetId="4">'[3]formulas_data tables'!$O$2:$O$5</definedName>
    <definedName name="Polarity" localSheetId="13">'[2]formulas_data tables'!$O$2:$O$5</definedName>
    <definedName name="Polarity" localSheetId="9">'[2]formulas_data tables'!$O$2:$O$5</definedName>
    <definedName name="Polarity" localSheetId="14">'[2]formulas_data tables'!$O$2:$O$5</definedName>
    <definedName name="Polarity">'formulas_data tables'!$O$2:$O$5</definedName>
    <definedName name="signal" localSheetId="12">'[1]formulas_data tables'!$L$2:$L$4</definedName>
    <definedName name="signal" localSheetId="10">'[2]formulas_data tables'!$L$2:$L$4</definedName>
    <definedName name="signal" localSheetId="4">'[3]formulas_data tables'!$L$2:$L$4</definedName>
    <definedName name="signal" localSheetId="13">'[2]formulas_data tables'!$L$2:$L$4</definedName>
    <definedName name="signal" localSheetId="9">'[2]formulas_data tables'!$L$2:$L$4</definedName>
    <definedName name="signal" localSheetId="14">'[2]formulas_data tables'!$L$2:$L$4</definedName>
    <definedName name="signal">'formulas_data tables'!$L$2:$L$4</definedName>
    <definedName name="STATE">'formulas_data tables'!$N$2:$N$3</definedName>
    <definedName name="tran" localSheetId="12">[1]Summary!$D$2</definedName>
    <definedName name="tran" localSheetId="10">[2]Summary!$D$2</definedName>
    <definedName name="tran" localSheetId="4">[3]Summary!$D$2</definedName>
    <definedName name="tran" localSheetId="13">[2]Summary!$D$2</definedName>
    <definedName name="tran" localSheetId="9">[2]Summary!$D$2</definedName>
    <definedName name="tran" localSheetId="14">[2]Summary!$D$2</definedName>
    <definedName name="tran">Summary!$D$2</definedName>
    <definedName name="Transmission" localSheetId="2">'formulas_data tables'!$A$3:$A$4</definedName>
    <definedName name="Transmission" localSheetId="5">'formulas_data tables'!$A$3:$A$4</definedName>
    <definedName name="Transmission" localSheetId="7">'formulas_data tables'!$A$3:$A$4</definedName>
    <definedName name="Transmission" localSheetId="0">'formulas_data tables'!$A$3:$A$4</definedName>
    <definedName name="type">'formulas_data tables'!$C$3:$C$4</definedName>
    <definedName name="units" localSheetId="12">'[1]formulas_data tables'!$E$3:$E$19</definedName>
    <definedName name="units" localSheetId="10">'[2]formulas_data tables'!$E$3:$E$19</definedName>
    <definedName name="units" localSheetId="4">'[3]formulas_data tables'!$E$3:$E$19</definedName>
    <definedName name="units" localSheetId="13">'[2]formulas_data tables'!$E$3:$E$19</definedName>
    <definedName name="units" localSheetId="9">'[2]formulas_data tables'!$E$3:$E$19</definedName>
    <definedName name="units" localSheetId="14">'[2]formulas_data tables'!$E$3:$E$19</definedName>
    <definedName name="units">'formulas_data tables'!$E$3:$E$19</definedName>
    <definedName name="vehicleYear" localSheetId="12">[1]Summary!$A$2</definedName>
    <definedName name="vehicleYear" localSheetId="10">[2]Summary!$A$2</definedName>
    <definedName name="vehicleYear" localSheetId="4">[3]Summary!$A$2</definedName>
    <definedName name="vehicleYear" localSheetId="13">[2]Summary!$A$2</definedName>
    <definedName name="vehicleYear" localSheetId="9">[2]Summary!$A$2</definedName>
    <definedName name="vehicleYear" localSheetId="14">[2]Summary!$A$2</definedName>
    <definedName name="vehicleYear">Summary!$A$2</definedName>
    <definedName name="Year" localSheetId="12">'[1]formulas_data tables'!$I$2:$I$95</definedName>
    <definedName name="Year" localSheetId="10">'[2]formulas_data tables'!$I$2:$I$95</definedName>
    <definedName name="Year" localSheetId="4">'[3]formulas_data tables'!$I$2:$I$95</definedName>
    <definedName name="Year" localSheetId="13">'[2]formulas_data tables'!$I$2:$I$95</definedName>
    <definedName name="Year" localSheetId="9">'[2]formulas_data tables'!$I$2:$I$95</definedName>
    <definedName name="Year" localSheetId="14">'[2]formulas_data tables'!$I$2:$I$95</definedName>
    <definedName name="Year">'formulas_data tables'!$I$2:$I$95</definedName>
    <definedName name="Years" localSheetId="12">'[1]formulas_data tables'!$K$2</definedName>
    <definedName name="Years" localSheetId="10">'[2]formulas_data tables'!$K$2</definedName>
    <definedName name="Years" localSheetId="4">'[3]formulas_data tables'!$K$2</definedName>
    <definedName name="Years" localSheetId="13">'[2]formulas_data tables'!$K$2</definedName>
    <definedName name="Years" localSheetId="9">'[2]formulas_data tables'!$K$2</definedName>
    <definedName name="Years" localSheetId="14">'[2]formulas_data tables'!$K$2</definedName>
    <definedName name="Years">'formulas_data tables'!$K$2</definedName>
  </definedNames>
  <calcPr calcId="162913"/>
</workbook>
</file>

<file path=xl/calcChain.xml><?xml version="1.0" encoding="utf-8"?>
<calcChain xmlns="http://schemas.openxmlformats.org/spreadsheetml/2006/main">
  <c r="S99" i="3" l="1"/>
  <c r="S100" i="3"/>
  <c r="S45" i="3"/>
  <c r="S46" i="3"/>
  <c r="S47" i="3"/>
  <c r="S48" i="3"/>
  <c r="S49" i="3"/>
  <c r="S50" i="3"/>
  <c r="S51" i="3"/>
  <c r="S52" i="3"/>
  <c r="S53" i="3"/>
  <c r="S54" i="3"/>
  <c r="S55" i="3"/>
  <c r="S56" i="3"/>
  <c r="S57" i="3"/>
  <c r="S58" i="3"/>
  <c r="S59" i="3"/>
  <c r="S60" i="3"/>
  <c r="S61" i="3"/>
  <c r="S62" i="3"/>
  <c r="S63" i="3"/>
  <c r="S64" i="3"/>
  <c r="S65" i="3"/>
  <c r="S66" i="3"/>
  <c r="S67" i="3"/>
  <c r="S68" i="3"/>
  <c r="S69" i="3"/>
  <c r="S70" i="3"/>
  <c r="S71" i="3"/>
  <c r="S72" i="3"/>
  <c r="S73" i="3"/>
  <c r="S74" i="3"/>
  <c r="S75" i="3"/>
  <c r="S76" i="3"/>
  <c r="S77" i="3"/>
  <c r="S78" i="3"/>
  <c r="S79" i="3"/>
  <c r="S80" i="3"/>
  <c r="S81" i="3"/>
  <c r="S82" i="3"/>
  <c r="S83" i="3"/>
  <c r="S84" i="3"/>
  <c r="S85" i="3"/>
  <c r="S86" i="3"/>
  <c r="S87" i="3"/>
  <c r="S88" i="3"/>
  <c r="S89" i="3"/>
  <c r="S90" i="3"/>
  <c r="S91" i="3"/>
  <c r="S92" i="3"/>
  <c r="S93" i="3"/>
  <c r="S94" i="3"/>
  <c r="S95" i="3"/>
  <c r="S96" i="3"/>
  <c r="S97" i="3"/>
  <c r="S98" i="3"/>
  <c r="S39" i="3" l="1"/>
  <c r="S40" i="3"/>
  <c r="S41" i="3"/>
  <c r="S42" i="3"/>
  <c r="S43" i="3"/>
  <c r="S44" i="3"/>
  <c r="B3" i="15"/>
  <c r="H19" i="14"/>
  <c r="H18" i="14"/>
  <c r="H17" i="14"/>
  <c r="H16" i="14"/>
  <c r="H15" i="14"/>
  <c r="H14" i="14"/>
  <c r="H13" i="14"/>
  <c r="H12" i="14"/>
  <c r="H11" i="14"/>
  <c r="H10" i="14"/>
  <c r="H9" i="14"/>
  <c r="I6" i="14"/>
  <c r="H6" i="14"/>
  <c r="D6" i="14"/>
  <c r="C6" i="14"/>
  <c r="I3" i="14"/>
  <c r="K23" i="13"/>
  <c r="K22" i="13"/>
  <c r="K21" i="13"/>
  <c r="K20" i="13"/>
  <c r="K19" i="13"/>
  <c r="K18" i="13"/>
  <c r="K17" i="13"/>
  <c r="K16" i="13"/>
  <c r="K15" i="13"/>
  <c r="K14" i="13"/>
  <c r="K13" i="13"/>
  <c r="K12" i="13"/>
  <c r="K11" i="13"/>
  <c r="K10" i="13"/>
  <c r="K9" i="13"/>
  <c r="K8" i="13"/>
  <c r="K7" i="13"/>
  <c r="K6" i="13"/>
  <c r="K5" i="13"/>
  <c r="K4" i="13"/>
  <c r="K3" i="13"/>
  <c r="AG257" i="12"/>
  <c r="AG256" i="12"/>
  <c r="AG255" i="12"/>
  <c r="AG254" i="12"/>
  <c r="AG253" i="12"/>
  <c r="AG252" i="12"/>
  <c r="AG251" i="12"/>
  <c r="AG250" i="12"/>
  <c r="AG249" i="12"/>
  <c r="AG248" i="12"/>
  <c r="AG247" i="12"/>
  <c r="AG246" i="12"/>
  <c r="AG245" i="12"/>
  <c r="AG244" i="12"/>
  <c r="AG243" i="12"/>
  <c r="AG242" i="12"/>
  <c r="AG241" i="12"/>
  <c r="AG240" i="12"/>
  <c r="AG239" i="12"/>
  <c r="AG238" i="12"/>
  <c r="AG237" i="12"/>
  <c r="AG236" i="12"/>
  <c r="AG235" i="12"/>
  <c r="AG234" i="12"/>
  <c r="AG233" i="12"/>
  <c r="AG232" i="12"/>
  <c r="AG231" i="12"/>
  <c r="AG230" i="12"/>
  <c r="AG229" i="12"/>
  <c r="AG228" i="12"/>
  <c r="AG227" i="12"/>
  <c r="AG226" i="12"/>
  <c r="AG225" i="12"/>
  <c r="AG224" i="12"/>
  <c r="AG223" i="12"/>
  <c r="AG222" i="12"/>
  <c r="AG221" i="12"/>
  <c r="AG220" i="12"/>
  <c r="AG219" i="12"/>
  <c r="AG218" i="12"/>
  <c r="AG217" i="12"/>
  <c r="AG216" i="12"/>
  <c r="AG215" i="12"/>
  <c r="AG214" i="12"/>
  <c r="AG213" i="12"/>
  <c r="AG212" i="12"/>
  <c r="AG211" i="12"/>
  <c r="AG210" i="12"/>
  <c r="AG209" i="12"/>
  <c r="AG208" i="12"/>
  <c r="AG207" i="12"/>
  <c r="AG206" i="12"/>
  <c r="AG205" i="12"/>
  <c r="AG204" i="12"/>
  <c r="AG203" i="12"/>
  <c r="AG202" i="12"/>
  <c r="AG201" i="12"/>
  <c r="AG200" i="12"/>
  <c r="AG199" i="12"/>
  <c r="AG198" i="12"/>
  <c r="AG197" i="12"/>
  <c r="AG196" i="12"/>
  <c r="AG195" i="12"/>
  <c r="AG194" i="12"/>
  <c r="AG193" i="12"/>
  <c r="AG192" i="12"/>
  <c r="AG191" i="12"/>
  <c r="AG190" i="12"/>
  <c r="AG189" i="12"/>
  <c r="AG188" i="12"/>
  <c r="AG187" i="12"/>
  <c r="AG186" i="12"/>
  <c r="AG185" i="12"/>
  <c r="AG184" i="12"/>
  <c r="AG183" i="12"/>
  <c r="AG182" i="12"/>
  <c r="AG181" i="12"/>
  <c r="AG180" i="12"/>
  <c r="AG179" i="12"/>
  <c r="AG178" i="12"/>
  <c r="AG177" i="12"/>
  <c r="AG176" i="12"/>
  <c r="AG175" i="12"/>
  <c r="AG174" i="12"/>
  <c r="AG173" i="12"/>
  <c r="AG172" i="12"/>
  <c r="AG171" i="12"/>
  <c r="AG170" i="12"/>
  <c r="AG169" i="12"/>
  <c r="AG168" i="12"/>
  <c r="AG167" i="12"/>
  <c r="AG166" i="12"/>
  <c r="AG165" i="12"/>
  <c r="AG164" i="12"/>
  <c r="AG163" i="12"/>
  <c r="AG162" i="12"/>
  <c r="AG161" i="12"/>
  <c r="AG160" i="12"/>
  <c r="AG159" i="12"/>
  <c r="AG158" i="12"/>
  <c r="AG157" i="12"/>
  <c r="AG156" i="12"/>
  <c r="AG155" i="12"/>
  <c r="AG154" i="12"/>
  <c r="AG153" i="12"/>
  <c r="AG152" i="12"/>
  <c r="AG151" i="12"/>
  <c r="AG150" i="12"/>
  <c r="AG149" i="12"/>
  <c r="AG148" i="12"/>
  <c r="AG147" i="12"/>
  <c r="AG146" i="12"/>
  <c r="AG145" i="12"/>
  <c r="AG144" i="12"/>
  <c r="AG143" i="12"/>
  <c r="AG142" i="12"/>
  <c r="AG141" i="12"/>
  <c r="AG140" i="12"/>
  <c r="AG139" i="12"/>
  <c r="AG138" i="12"/>
  <c r="AG137" i="12"/>
  <c r="AG136" i="12"/>
  <c r="AG135" i="12"/>
  <c r="AG134" i="12"/>
  <c r="AG133" i="12"/>
  <c r="AG132" i="12"/>
  <c r="AG131" i="12"/>
  <c r="AG130" i="12"/>
  <c r="AG129" i="12"/>
  <c r="AG128" i="12"/>
  <c r="AG127" i="12"/>
  <c r="AG126" i="12"/>
  <c r="AG125" i="12"/>
  <c r="AG124" i="12"/>
  <c r="AG123" i="12"/>
  <c r="AG122" i="12"/>
  <c r="AG121" i="12"/>
  <c r="AG120" i="12"/>
  <c r="AG119" i="12"/>
  <c r="AG118" i="12"/>
  <c r="AG117" i="12"/>
  <c r="AG116" i="12"/>
  <c r="AG115" i="12"/>
  <c r="AG114" i="12"/>
  <c r="AG113" i="12"/>
  <c r="AG112" i="12"/>
  <c r="AG111" i="12"/>
  <c r="AG110" i="12"/>
  <c r="AG109" i="12"/>
  <c r="AG108" i="12"/>
  <c r="AG107" i="12"/>
  <c r="AG106" i="12"/>
  <c r="AG105" i="12"/>
  <c r="AG104" i="12"/>
  <c r="AG103" i="12"/>
  <c r="AG102" i="12"/>
  <c r="AG101" i="12"/>
  <c r="AG100" i="12"/>
  <c r="AG99" i="12"/>
  <c r="AG98" i="12"/>
  <c r="AG97" i="12"/>
  <c r="AG96" i="12"/>
  <c r="AG95" i="12"/>
  <c r="AG94" i="12"/>
  <c r="AG93" i="12"/>
  <c r="AG92" i="12"/>
  <c r="AG91" i="12"/>
  <c r="AG90" i="12"/>
  <c r="AG89" i="12"/>
  <c r="AG88" i="12"/>
  <c r="AG87" i="12"/>
  <c r="AG86" i="12"/>
  <c r="AG85" i="12"/>
  <c r="AG84" i="12"/>
  <c r="AG83" i="12"/>
  <c r="AG82" i="12"/>
  <c r="AG81" i="12"/>
  <c r="AG80" i="12"/>
  <c r="AG79" i="12"/>
  <c r="AG78" i="12"/>
  <c r="AG77" i="12"/>
  <c r="AG76" i="12"/>
  <c r="AG75" i="12"/>
  <c r="AG74" i="12"/>
  <c r="AG73" i="12"/>
  <c r="AG72" i="12"/>
  <c r="AG71" i="12"/>
  <c r="AG70" i="12"/>
  <c r="AG69" i="12"/>
  <c r="AG68" i="12"/>
  <c r="AG67" i="12"/>
  <c r="AG66" i="12"/>
  <c r="AG65" i="12"/>
  <c r="AG64" i="12"/>
  <c r="AG63" i="12"/>
  <c r="AG62" i="12"/>
  <c r="AG61" i="12"/>
  <c r="AG60" i="12"/>
  <c r="AG59" i="12"/>
  <c r="AG58" i="12"/>
  <c r="AG57" i="12"/>
  <c r="AG56" i="12"/>
  <c r="AG55" i="12"/>
  <c r="AG54" i="12"/>
  <c r="AG53" i="12"/>
  <c r="AG52" i="12"/>
  <c r="AG51" i="12"/>
  <c r="AG50" i="12"/>
  <c r="AG49" i="12"/>
  <c r="AG48" i="12"/>
  <c r="AG47" i="12"/>
  <c r="AG46" i="12"/>
  <c r="AG45" i="12"/>
  <c r="AG44" i="12"/>
  <c r="AG43" i="12"/>
  <c r="AG42" i="12"/>
  <c r="AG41" i="12"/>
  <c r="AG40" i="12"/>
  <c r="AG39" i="12"/>
  <c r="AG38" i="12"/>
  <c r="AG37" i="12"/>
  <c r="AG36" i="12"/>
  <c r="AG35" i="12"/>
  <c r="AG34" i="12"/>
  <c r="AG33" i="12"/>
  <c r="AG32" i="12"/>
  <c r="AG31" i="12"/>
  <c r="AG30" i="12"/>
  <c r="AG29" i="12"/>
  <c r="AG28" i="12"/>
  <c r="AG27" i="12"/>
  <c r="AG26" i="12"/>
  <c r="AG25" i="12"/>
  <c r="AG24" i="12"/>
  <c r="AG23" i="12"/>
  <c r="AG22" i="12"/>
  <c r="AG21" i="12"/>
  <c r="AG20" i="12"/>
  <c r="AG19" i="12"/>
  <c r="AG18" i="12"/>
  <c r="AG17" i="12"/>
  <c r="AG16" i="12"/>
  <c r="AG15" i="12"/>
  <c r="AG14" i="12"/>
  <c r="AG13" i="12"/>
  <c r="AG12" i="12"/>
  <c r="AG11" i="12"/>
  <c r="AG10" i="12"/>
  <c r="AG9" i="12"/>
  <c r="AG8" i="12"/>
  <c r="AG7" i="12"/>
  <c r="AG6" i="12"/>
  <c r="AG5" i="12"/>
  <c r="AG4" i="12"/>
  <c r="AG3" i="12"/>
  <c r="AG2" i="12"/>
  <c r="K2" i="12"/>
  <c r="D1" i="7" s="1"/>
  <c r="J421" i="10"/>
  <c r="I421" i="10"/>
  <c r="L421" i="10" s="1"/>
  <c r="L420" i="10"/>
  <c r="J420" i="10"/>
  <c r="I420" i="10"/>
  <c r="J419" i="10"/>
  <c r="I419" i="10"/>
  <c r="L419" i="10" s="1"/>
  <c r="L418" i="10"/>
  <c r="J418" i="10"/>
  <c r="I418" i="10"/>
  <c r="L417" i="10"/>
  <c r="I417" i="10"/>
  <c r="J417" i="10" s="1"/>
  <c r="I416" i="10"/>
  <c r="J416" i="10" s="1"/>
  <c r="I415" i="10"/>
  <c r="J415" i="10" s="1"/>
  <c r="I414" i="10"/>
  <c r="J413" i="10"/>
  <c r="I413" i="10"/>
  <c r="L413" i="10" s="1"/>
  <c r="L412" i="10"/>
  <c r="J412" i="10"/>
  <c r="I412" i="10"/>
  <c r="J411" i="10"/>
  <c r="I411" i="10"/>
  <c r="L411" i="10" s="1"/>
  <c r="L410" i="10"/>
  <c r="J410" i="10"/>
  <c r="I410" i="10"/>
  <c r="L409" i="10"/>
  <c r="J409" i="10"/>
  <c r="I409" i="10"/>
  <c r="I408" i="10"/>
  <c r="J408" i="10" s="1"/>
  <c r="L407" i="10"/>
  <c r="I407" i="10"/>
  <c r="J407" i="10" s="1"/>
  <c r="I406" i="10"/>
  <c r="J405" i="10"/>
  <c r="I405" i="10"/>
  <c r="L405" i="10" s="1"/>
  <c r="L404" i="10"/>
  <c r="J404" i="10"/>
  <c r="I404" i="10"/>
  <c r="J403" i="10"/>
  <c r="I403" i="10"/>
  <c r="L403" i="10" s="1"/>
  <c r="L402" i="10"/>
  <c r="J402" i="10"/>
  <c r="I402" i="10"/>
  <c r="L401" i="10"/>
  <c r="J401" i="10"/>
  <c r="I401" i="10"/>
  <c r="L400" i="10"/>
  <c r="I400" i="10"/>
  <c r="J400" i="10" s="1"/>
  <c r="L399" i="10"/>
  <c r="I399" i="10"/>
  <c r="J399" i="10" s="1"/>
  <c r="I398" i="10"/>
  <c r="J397" i="10"/>
  <c r="I397" i="10"/>
  <c r="L397" i="10" s="1"/>
  <c r="L396" i="10"/>
  <c r="J396" i="10"/>
  <c r="I396" i="10"/>
  <c r="J395" i="10"/>
  <c r="I395" i="10"/>
  <c r="L395" i="10" s="1"/>
  <c r="L394" i="10"/>
  <c r="J394" i="10"/>
  <c r="I394" i="10"/>
  <c r="L393" i="10"/>
  <c r="J393" i="10"/>
  <c r="I393" i="10"/>
  <c r="L392" i="10"/>
  <c r="I392" i="10"/>
  <c r="J392" i="10" s="1"/>
  <c r="I391" i="10"/>
  <c r="J391" i="10" s="1"/>
  <c r="I390" i="10"/>
  <c r="J389" i="10"/>
  <c r="I389" i="10"/>
  <c r="L389" i="10" s="1"/>
  <c r="L388" i="10"/>
  <c r="J388" i="10"/>
  <c r="I388" i="10"/>
  <c r="J387" i="10"/>
  <c r="I387" i="10"/>
  <c r="L387" i="10" s="1"/>
  <c r="L386" i="10"/>
  <c r="J386" i="10"/>
  <c r="I386" i="10"/>
  <c r="L385" i="10"/>
  <c r="J385" i="10"/>
  <c r="I385" i="10"/>
  <c r="I384" i="10"/>
  <c r="J384" i="10" s="1"/>
  <c r="I383" i="10"/>
  <c r="J383" i="10" s="1"/>
  <c r="I382" i="10"/>
  <c r="J381" i="10"/>
  <c r="I381" i="10"/>
  <c r="L381" i="10" s="1"/>
  <c r="L380" i="10"/>
  <c r="J380" i="10"/>
  <c r="I380" i="10"/>
  <c r="J379" i="10"/>
  <c r="I379" i="10"/>
  <c r="L379" i="10" s="1"/>
  <c r="L378" i="10"/>
  <c r="J378" i="10"/>
  <c r="I378" i="10"/>
  <c r="L377" i="10"/>
  <c r="J377" i="10"/>
  <c r="I377" i="10"/>
  <c r="I376" i="10"/>
  <c r="J376" i="10" s="1"/>
  <c r="L375" i="10"/>
  <c r="I375" i="10"/>
  <c r="J375" i="10" s="1"/>
  <c r="I374" i="10"/>
  <c r="J373" i="10"/>
  <c r="I373" i="10"/>
  <c r="L373" i="10" s="1"/>
  <c r="L372" i="10"/>
  <c r="J372" i="10"/>
  <c r="I372" i="10"/>
  <c r="J371" i="10"/>
  <c r="I371" i="10"/>
  <c r="L371" i="10" s="1"/>
  <c r="L370" i="10"/>
  <c r="J370" i="10"/>
  <c r="I370" i="10"/>
  <c r="L369" i="10"/>
  <c r="J369" i="10"/>
  <c r="I369" i="10"/>
  <c r="L368" i="10"/>
  <c r="I368" i="10"/>
  <c r="J368" i="10" s="1"/>
  <c r="L367" i="10"/>
  <c r="I367" i="10"/>
  <c r="J367" i="10" s="1"/>
  <c r="I366" i="10"/>
  <c r="J365" i="10"/>
  <c r="I365" i="10"/>
  <c r="L365" i="10" s="1"/>
  <c r="L364" i="10"/>
  <c r="J364" i="10"/>
  <c r="I364" i="10"/>
  <c r="J363" i="10"/>
  <c r="I363" i="10"/>
  <c r="L363" i="10" s="1"/>
  <c r="L362" i="10"/>
  <c r="J362" i="10"/>
  <c r="I362" i="10"/>
  <c r="L361" i="10"/>
  <c r="J361" i="10"/>
  <c r="I361" i="10"/>
  <c r="L360" i="10"/>
  <c r="I360" i="10"/>
  <c r="J360" i="10" s="1"/>
  <c r="I359" i="10"/>
  <c r="J359" i="10" s="1"/>
  <c r="I358" i="10"/>
  <c r="J357" i="10"/>
  <c r="I357" i="10"/>
  <c r="L357" i="10" s="1"/>
  <c r="L356" i="10"/>
  <c r="J356" i="10"/>
  <c r="I356" i="10"/>
  <c r="J355" i="10"/>
  <c r="I355" i="10"/>
  <c r="L355" i="10" s="1"/>
  <c r="L354" i="10"/>
  <c r="J354" i="10"/>
  <c r="I354" i="10"/>
  <c r="L353" i="10"/>
  <c r="J353" i="10"/>
  <c r="I353" i="10"/>
  <c r="I352" i="10"/>
  <c r="J352" i="10" s="1"/>
  <c r="I351" i="10"/>
  <c r="J351" i="10" s="1"/>
  <c r="I350" i="10"/>
  <c r="J349" i="10"/>
  <c r="I349" i="10"/>
  <c r="L349" i="10" s="1"/>
  <c r="L348" i="10"/>
  <c r="J348" i="10"/>
  <c r="I348" i="10"/>
  <c r="J347" i="10"/>
  <c r="I347" i="10"/>
  <c r="L347" i="10" s="1"/>
  <c r="L346" i="10"/>
  <c r="J346" i="10"/>
  <c r="I346" i="10"/>
  <c r="L345" i="10"/>
  <c r="J345" i="10"/>
  <c r="I345" i="10"/>
  <c r="I344" i="10"/>
  <c r="J344" i="10" s="1"/>
  <c r="L343" i="10"/>
  <c r="I343" i="10"/>
  <c r="J343" i="10" s="1"/>
  <c r="I342" i="10"/>
  <c r="J341" i="10"/>
  <c r="I341" i="10"/>
  <c r="L341" i="10" s="1"/>
  <c r="L340" i="10"/>
  <c r="J340" i="10"/>
  <c r="I340" i="10"/>
  <c r="J339" i="10"/>
  <c r="I339" i="10"/>
  <c r="L339" i="10" s="1"/>
  <c r="L338" i="10"/>
  <c r="J338" i="10"/>
  <c r="I338" i="10"/>
  <c r="L337" i="10"/>
  <c r="J337" i="10"/>
  <c r="I337" i="10"/>
  <c r="L336" i="10"/>
  <c r="I336" i="10"/>
  <c r="J336" i="10" s="1"/>
  <c r="L335" i="10"/>
  <c r="I335" i="10"/>
  <c r="J335" i="10" s="1"/>
  <c r="I334" i="10"/>
  <c r="J333" i="10"/>
  <c r="I333" i="10"/>
  <c r="L333" i="10" s="1"/>
  <c r="L332" i="10"/>
  <c r="J332" i="10"/>
  <c r="I332" i="10"/>
  <c r="J331" i="10"/>
  <c r="I331" i="10"/>
  <c r="L331" i="10" s="1"/>
  <c r="L330" i="10"/>
  <c r="J330" i="10"/>
  <c r="I330" i="10"/>
  <c r="L329" i="10"/>
  <c r="J329" i="10"/>
  <c r="I329" i="10"/>
  <c r="L328" i="10"/>
  <c r="I328" i="10"/>
  <c r="J328" i="10" s="1"/>
  <c r="I327" i="10"/>
  <c r="J327" i="10" s="1"/>
  <c r="I326" i="10"/>
  <c r="J325" i="10"/>
  <c r="I325" i="10"/>
  <c r="L325" i="10" s="1"/>
  <c r="L324" i="10"/>
  <c r="J324" i="10"/>
  <c r="I324" i="10"/>
  <c r="J323" i="10"/>
  <c r="I323" i="10"/>
  <c r="L323" i="10" s="1"/>
  <c r="L322" i="10"/>
  <c r="J322" i="10"/>
  <c r="I322" i="10"/>
  <c r="L321" i="10"/>
  <c r="J321" i="10"/>
  <c r="I321" i="10"/>
  <c r="I320" i="10"/>
  <c r="J320" i="10" s="1"/>
  <c r="I319" i="10"/>
  <c r="J319" i="10" s="1"/>
  <c r="I318" i="10"/>
  <c r="J317" i="10"/>
  <c r="I317" i="10"/>
  <c r="L317" i="10" s="1"/>
  <c r="L316" i="10"/>
  <c r="J316" i="10"/>
  <c r="I316" i="10"/>
  <c r="J315" i="10"/>
  <c r="I315" i="10"/>
  <c r="L315" i="10" s="1"/>
  <c r="L314" i="10"/>
  <c r="J314" i="10"/>
  <c r="I314" i="10"/>
  <c r="L313" i="10"/>
  <c r="J313" i="10"/>
  <c r="I313" i="10"/>
  <c r="J312" i="10"/>
  <c r="I312" i="10"/>
  <c r="L312" i="10" s="1"/>
  <c r="L311" i="10"/>
  <c r="I311" i="10"/>
  <c r="J311" i="10" s="1"/>
  <c r="I310" i="10"/>
  <c r="L309" i="10"/>
  <c r="J309" i="10"/>
  <c r="I309" i="10"/>
  <c r="L308" i="10"/>
  <c r="J308" i="10"/>
  <c r="I308" i="10"/>
  <c r="J307" i="10"/>
  <c r="I307" i="10"/>
  <c r="L307" i="10" s="1"/>
  <c r="L306" i="10"/>
  <c r="J306" i="10"/>
  <c r="I306" i="10"/>
  <c r="L305" i="10"/>
  <c r="J305" i="10"/>
  <c r="I305" i="10"/>
  <c r="L304" i="10"/>
  <c r="J304" i="10"/>
  <c r="I304" i="10"/>
  <c r="L303" i="10"/>
  <c r="I303" i="10"/>
  <c r="J303" i="10" s="1"/>
  <c r="I302" i="10"/>
  <c r="L301" i="10"/>
  <c r="J301" i="10"/>
  <c r="I301" i="10"/>
  <c r="L300" i="10"/>
  <c r="J300" i="10"/>
  <c r="I300" i="10"/>
  <c r="I299" i="10"/>
  <c r="L299" i="10" s="1"/>
  <c r="L298" i="10"/>
  <c r="J298" i="10"/>
  <c r="I298" i="10"/>
  <c r="L297" i="10"/>
  <c r="J297" i="10"/>
  <c r="I297" i="10"/>
  <c r="J296" i="10"/>
  <c r="I296" i="10"/>
  <c r="L296" i="10" s="1"/>
  <c r="L295" i="10"/>
  <c r="I295" i="10"/>
  <c r="J295" i="10" s="1"/>
  <c r="I294" i="10"/>
  <c r="L293" i="10"/>
  <c r="J293" i="10"/>
  <c r="I293" i="10"/>
  <c r="L292" i="10"/>
  <c r="J292" i="10"/>
  <c r="I292" i="10"/>
  <c r="J291" i="10"/>
  <c r="I291" i="10"/>
  <c r="L291" i="10" s="1"/>
  <c r="L290" i="10"/>
  <c r="J290" i="10"/>
  <c r="I290" i="10"/>
  <c r="L289" i="10"/>
  <c r="J289" i="10"/>
  <c r="I289" i="10"/>
  <c r="L288" i="10"/>
  <c r="J288" i="10"/>
  <c r="I288" i="10"/>
  <c r="L287" i="10"/>
  <c r="I287" i="10"/>
  <c r="J287" i="10" s="1"/>
  <c r="I286" i="10"/>
  <c r="L285" i="10"/>
  <c r="J285" i="10"/>
  <c r="I285" i="10"/>
  <c r="L284" i="10"/>
  <c r="J284" i="10"/>
  <c r="I284" i="10"/>
  <c r="I283" i="10"/>
  <c r="L283" i="10" s="1"/>
  <c r="L282" i="10"/>
  <c r="J282" i="10"/>
  <c r="I282" i="10"/>
  <c r="L281" i="10"/>
  <c r="J281" i="10"/>
  <c r="I281" i="10"/>
  <c r="I280" i="10"/>
  <c r="L280" i="10" s="1"/>
  <c r="L279" i="10"/>
  <c r="I279" i="10"/>
  <c r="J279" i="10" s="1"/>
  <c r="I278" i="10"/>
  <c r="L277" i="10"/>
  <c r="J277" i="10"/>
  <c r="I277" i="10"/>
  <c r="L276" i="10"/>
  <c r="J276" i="10"/>
  <c r="I276" i="10"/>
  <c r="J275" i="10"/>
  <c r="I275" i="10"/>
  <c r="L275" i="10" s="1"/>
  <c r="L274" i="10"/>
  <c r="J274" i="10"/>
  <c r="I274" i="10"/>
  <c r="L273" i="10"/>
  <c r="J273" i="10"/>
  <c r="I273" i="10"/>
  <c r="L272" i="10"/>
  <c r="J272" i="10"/>
  <c r="I272" i="10"/>
  <c r="L271" i="10"/>
  <c r="I271" i="10"/>
  <c r="J271" i="10" s="1"/>
  <c r="I270" i="10"/>
  <c r="L269" i="10"/>
  <c r="J269" i="10"/>
  <c r="I269" i="10"/>
  <c r="L268" i="10"/>
  <c r="J268" i="10"/>
  <c r="I268" i="10"/>
  <c r="I267" i="10"/>
  <c r="L267" i="10" s="1"/>
  <c r="L266" i="10"/>
  <c r="J266" i="10"/>
  <c r="I266" i="10"/>
  <c r="L265" i="10"/>
  <c r="J265" i="10"/>
  <c r="I265" i="10"/>
  <c r="I264" i="10"/>
  <c r="L264" i="10" s="1"/>
  <c r="L263" i="10"/>
  <c r="I263" i="10"/>
  <c r="J263" i="10" s="1"/>
  <c r="I262" i="10"/>
  <c r="L261" i="10"/>
  <c r="J261" i="10"/>
  <c r="I261" i="10"/>
  <c r="L260" i="10"/>
  <c r="J260" i="10"/>
  <c r="I260" i="10"/>
  <c r="J259" i="10"/>
  <c r="I259" i="10"/>
  <c r="L259" i="10" s="1"/>
  <c r="L258" i="10"/>
  <c r="J258" i="10"/>
  <c r="I258" i="10"/>
  <c r="L257" i="10"/>
  <c r="J257" i="10"/>
  <c r="I257" i="10"/>
  <c r="L256" i="10"/>
  <c r="J256" i="10"/>
  <c r="I256" i="10"/>
  <c r="L255" i="10"/>
  <c r="I255" i="10"/>
  <c r="J255" i="10" s="1"/>
  <c r="I254" i="10"/>
  <c r="L253" i="10"/>
  <c r="J253" i="10"/>
  <c r="I253" i="10"/>
  <c r="L252" i="10"/>
  <c r="J252" i="10"/>
  <c r="I252" i="10"/>
  <c r="I251" i="10"/>
  <c r="L251" i="10" s="1"/>
  <c r="L250" i="10"/>
  <c r="J250" i="10"/>
  <c r="I250" i="10"/>
  <c r="L249" i="10"/>
  <c r="J249" i="10"/>
  <c r="I249" i="10"/>
  <c r="I248" i="10"/>
  <c r="L248" i="10" s="1"/>
  <c r="L247" i="10"/>
  <c r="I247" i="10"/>
  <c r="J247" i="10" s="1"/>
  <c r="I246" i="10"/>
  <c r="L245" i="10"/>
  <c r="J245" i="10"/>
  <c r="I245" i="10"/>
  <c r="L244" i="10"/>
  <c r="J244" i="10"/>
  <c r="I244" i="10"/>
  <c r="J243" i="10"/>
  <c r="I243" i="10"/>
  <c r="L243" i="10" s="1"/>
  <c r="L242" i="10"/>
  <c r="J242" i="10"/>
  <c r="I242" i="10"/>
  <c r="L241" i="10"/>
  <c r="J241" i="10"/>
  <c r="I241" i="10"/>
  <c r="L240" i="10"/>
  <c r="I240" i="10"/>
  <c r="J240" i="10" s="1"/>
  <c r="L239" i="10"/>
  <c r="I239" i="10"/>
  <c r="J239" i="10" s="1"/>
  <c r="I238" i="10"/>
  <c r="L237" i="10"/>
  <c r="J237" i="10"/>
  <c r="I237" i="10"/>
  <c r="L236" i="10"/>
  <c r="J236" i="10"/>
  <c r="I236" i="10"/>
  <c r="I235" i="10"/>
  <c r="L235" i="10" s="1"/>
  <c r="L234" i="10"/>
  <c r="J234" i="10"/>
  <c r="I234" i="10"/>
  <c r="L233" i="10"/>
  <c r="J233" i="10"/>
  <c r="I233" i="10"/>
  <c r="I232" i="10"/>
  <c r="L232" i="10" s="1"/>
  <c r="L231" i="10"/>
  <c r="J231" i="10"/>
  <c r="I231" i="10"/>
  <c r="I230" i="10"/>
  <c r="I229" i="10"/>
  <c r="L229" i="10" s="1"/>
  <c r="L228" i="10"/>
  <c r="J228" i="10"/>
  <c r="I228" i="10"/>
  <c r="I227" i="10"/>
  <c r="L227" i="10" s="1"/>
  <c r="I226" i="10"/>
  <c r="L226" i="10" s="1"/>
  <c r="L225" i="10"/>
  <c r="J225" i="10"/>
  <c r="I225" i="10"/>
  <c r="I224" i="10"/>
  <c r="L224" i="10" s="1"/>
  <c r="I223" i="10"/>
  <c r="L223" i="10" s="1"/>
  <c r="I222" i="10"/>
  <c r="L221" i="10"/>
  <c r="I221" i="10"/>
  <c r="J221" i="10" s="1"/>
  <c r="L220" i="10"/>
  <c r="J220" i="10"/>
  <c r="I220" i="10"/>
  <c r="J219" i="10"/>
  <c r="I219" i="10"/>
  <c r="L219" i="10" s="1"/>
  <c r="L218" i="10"/>
  <c r="I218" i="10"/>
  <c r="J218" i="10" s="1"/>
  <c r="L217" i="10"/>
  <c r="J217" i="10"/>
  <c r="I217" i="10"/>
  <c r="L216" i="10"/>
  <c r="J216" i="10"/>
  <c r="I216" i="10"/>
  <c r="I215" i="10"/>
  <c r="L215" i="10" s="1"/>
  <c r="I214" i="10"/>
  <c r="J214" i="10" s="1"/>
  <c r="L213" i="10"/>
  <c r="J213" i="10"/>
  <c r="I213" i="10"/>
  <c r="I212" i="10"/>
  <c r="L212" i="10" s="1"/>
  <c r="I211" i="10"/>
  <c r="L211" i="10" s="1"/>
  <c r="L210" i="10"/>
  <c r="J210" i="10"/>
  <c r="I210" i="10"/>
  <c r="L209" i="10"/>
  <c r="J209" i="10"/>
  <c r="I209" i="10"/>
  <c r="I208" i="10"/>
  <c r="L208" i="10" s="1"/>
  <c r="L207" i="10"/>
  <c r="J207" i="10"/>
  <c r="I207" i="10"/>
  <c r="I206" i="10"/>
  <c r="J206" i="10" s="1"/>
  <c r="I205" i="10"/>
  <c r="L205" i="10" s="1"/>
  <c r="L204" i="10"/>
  <c r="J204" i="10"/>
  <c r="I204" i="10"/>
  <c r="I203" i="10"/>
  <c r="L203" i="10" s="1"/>
  <c r="I202" i="10"/>
  <c r="L202" i="10" s="1"/>
  <c r="L201" i="10"/>
  <c r="J201" i="10"/>
  <c r="I201" i="10"/>
  <c r="L200" i="10"/>
  <c r="J200" i="10"/>
  <c r="I200" i="10"/>
  <c r="L199" i="10"/>
  <c r="J199" i="10"/>
  <c r="I199" i="10"/>
  <c r="L198" i="10"/>
  <c r="I198" i="10"/>
  <c r="J198" i="10" s="1"/>
  <c r="L197" i="10"/>
  <c r="J197" i="10"/>
  <c r="I197" i="10"/>
  <c r="L196" i="10"/>
  <c r="J196" i="10"/>
  <c r="I196" i="10"/>
  <c r="J195" i="10"/>
  <c r="I195" i="10"/>
  <c r="L195" i="10" s="1"/>
  <c r="L194" i="10"/>
  <c r="J194" i="10"/>
  <c r="I194" i="10"/>
  <c r="L193" i="10"/>
  <c r="J193" i="10"/>
  <c r="I193" i="10"/>
  <c r="L192" i="10"/>
  <c r="I192" i="10"/>
  <c r="J192" i="10" s="1"/>
  <c r="I191" i="10"/>
  <c r="L191" i="10" s="1"/>
  <c r="L190" i="10"/>
  <c r="I190" i="10"/>
  <c r="J190" i="10" s="1"/>
  <c r="L189" i="10"/>
  <c r="I189" i="10"/>
  <c r="J189" i="10" s="1"/>
  <c r="I188" i="10"/>
  <c r="L188" i="10" s="1"/>
  <c r="J187" i="10"/>
  <c r="I187" i="10"/>
  <c r="L187" i="10" s="1"/>
  <c r="L186" i="10"/>
  <c r="I186" i="10"/>
  <c r="J186" i="10" s="1"/>
  <c r="L185" i="10"/>
  <c r="J185" i="10"/>
  <c r="I185" i="10"/>
  <c r="L184" i="10"/>
  <c r="J184" i="10"/>
  <c r="I184" i="10"/>
  <c r="I183" i="10"/>
  <c r="L183" i="10" s="1"/>
  <c r="I182" i="10"/>
  <c r="J182" i="10" s="1"/>
  <c r="L181" i="10"/>
  <c r="J181" i="10"/>
  <c r="I181" i="10"/>
  <c r="I180" i="10"/>
  <c r="L180" i="10" s="1"/>
  <c r="I179" i="10"/>
  <c r="L179" i="10" s="1"/>
  <c r="L178" i="10"/>
  <c r="J178" i="10"/>
  <c r="I178" i="10"/>
  <c r="L177" i="10"/>
  <c r="J177" i="10"/>
  <c r="I177" i="10"/>
  <c r="I176" i="10"/>
  <c r="L176" i="10" s="1"/>
  <c r="L175" i="10"/>
  <c r="J175" i="10"/>
  <c r="I175" i="10"/>
  <c r="I174" i="10"/>
  <c r="J174" i="10" s="1"/>
  <c r="I173" i="10"/>
  <c r="L173" i="10" s="1"/>
  <c r="L172" i="10"/>
  <c r="J172" i="10"/>
  <c r="I172" i="10"/>
  <c r="I171" i="10"/>
  <c r="L171" i="10" s="1"/>
  <c r="I170" i="10"/>
  <c r="L170" i="10" s="1"/>
  <c r="L169" i="10"/>
  <c r="J169" i="10"/>
  <c r="I169" i="10"/>
  <c r="L168" i="10"/>
  <c r="J168" i="10"/>
  <c r="I168" i="10"/>
  <c r="L167" i="10"/>
  <c r="J167" i="10"/>
  <c r="I167" i="10"/>
  <c r="L166" i="10"/>
  <c r="I166" i="10"/>
  <c r="J166" i="10" s="1"/>
  <c r="L165" i="10"/>
  <c r="J165" i="10"/>
  <c r="I165" i="10"/>
  <c r="L164" i="10"/>
  <c r="J164" i="10"/>
  <c r="I164" i="10"/>
  <c r="J163" i="10"/>
  <c r="I163" i="10"/>
  <c r="L163" i="10" s="1"/>
  <c r="L162" i="10"/>
  <c r="J162" i="10"/>
  <c r="I162" i="10"/>
  <c r="L161" i="10"/>
  <c r="J161" i="10"/>
  <c r="I161" i="10"/>
  <c r="L160" i="10"/>
  <c r="I160" i="10"/>
  <c r="J160" i="10" s="1"/>
  <c r="I159" i="10"/>
  <c r="L159" i="10" s="1"/>
  <c r="L158" i="10"/>
  <c r="I158" i="10"/>
  <c r="J158" i="10" s="1"/>
  <c r="L157" i="10"/>
  <c r="I157" i="10"/>
  <c r="J157" i="10" s="1"/>
  <c r="I156" i="10"/>
  <c r="L156" i="10" s="1"/>
  <c r="J155" i="10"/>
  <c r="I155" i="10"/>
  <c r="L155" i="10" s="1"/>
  <c r="L154" i="10"/>
  <c r="I154" i="10"/>
  <c r="J154" i="10" s="1"/>
  <c r="L153" i="10"/>
  <c r="J153" i="10"/>
  <c r="I153" i="10"/>
  <c r="L152" i="10"/>
  <c r="J152" i="10"/>
  <c r="I152" i="10"/>
  <c r="I151" i="10"/>
  <c r="L151" i="10" s="1"/>
  <c r="I150" i="10"/>
  <c r="J150" i="10" s="1"/>
  <c r="L149" i="10"/>
  <c r="J149" i="10"/>
  <c r="I149" i="10"/>
  <c r="I148" i="10"/>
  <c r="L148" i="10" s="1"/>
  <c r="I147" i="10"/>
  <c r="L147" i="10" s="1"/>
  <c r="L146" i="10"/>
  <c r="J146" i="10"/>
  <c r="I146" i="10"/>
  <c r="L145" i="10"/>
  <c r="J145" i="10"/>
  <c r="I145" i="10"/>
  <c r="I144" i="10"/>
  <c r="L144" i="10" s="1"/>
  <c r="L143" i="10"/>
  <c r="J143" i="10"/>
  <c r="I143" i="10"/>
  <c r="I142" i="10"/>
  <c r="J142" i="10" s="1"/>
  <c r="I141" i="10"/>
  <c r="L141" i="10" s="1"/>
  <c r="L140" i="10"/>
  <c r="J140" i="10"/>
  <c r="I140" i="10"/>
  <c r="I139" i="10"/>
  <c r="L139" i="10" s="1"/>
  <c r="I138" i="10"/>
  <c r="L138" i="10" s="1"/>
  <c r="L137" i="10"/>
  <c r="J137" i="10"/>
  <c r="I137" i="10"/>
  <c r="L136" i="10"/>
  <c r="J136" i="10"/>
  <c r="I136" i="10"/>
  <c r="L135" i="10"/>
  <c r="J135" i="10"/>
  <c r="I135" i="10"/>
  <c r="L134" i="10"/>
  <c r="I134" i="10"/>
  <c r="J134" i="10" s="1"/>
  <c r="L133" i="10"/>
  <c r="J133" i="10"/>
  <c r="I133" i="10"/>
  <c r="L132" i="10"/>
  <c r="J132" i="10"/>
  <c r="I132" i="10"/>
  <c r="J131" i="10"/>
  <c r="I131" i="10"/>
  <c r="L131" i="10" s="1"/>
  <c r="L130" i="10"/>
  <c r="J130" i="10"/>
  <c r="I130" i="10"/>
  <c r="L129" i="10"/>
  <c r="J129" i="10"/>
  <c r="I129" i="10"/>
  <c r="L128" i="10"/>
  <c r="I128" i="10"/>
  <c r="J128" i="10" s="1"/>
  <c r="I127" i="10"/>
  <c r="L127" i="10" s="1"/>
  <c r="L126" i="10"/>
  <c r="I126" i="10"/>
  <c r="J126" i="10" s="1"/>
  <c r="L125" i="10"/>
  <c r="I125" i="10"/>
  <c r="J125" i="10" s="1"/>
  <c r="I124" i="10"/>
  <c r="L124" i="10" s="1"/>
  <c r="J123" i="10"/>
  <c r="I123" i="10"/>
  <c r="L123" i="10" s="1"/>
  <c r="L122" i="10"/>
  <c r="I122" i="10"/>
  <c r="J122" i="10" s="1"/>
  <c r="L121" i="10"/>
  <c r="J121" i="10"/>
  <c r="I121" i="10"/>
  <c r="L120" i="10"/>
  <c r="J120" i="10"/>
  <c r="I120" i="10"/>
  <c r="I119" i="10"/>
  <c r="L119" i="10" s="1"/>
  <c r="I118" i="10"/>
  <c r="J118" i="10" s="1"/>
  <c r="L117" i="10"/>
  <c r="J117" i="10"/>
  <c r="I117" i="10"/>
  <c r="I116" i="10"/>
  <c r="L116" i="10" s="1"/>
  <c r="I115" i="10"/>
  <c r="L115" i="10" s="1"/>
  <c r="L114" i="10"/>
  <c r="J114" i="10"/>
  <c r="I114" i="10"/>
  <c r="L113" i="10"/>
  <c r="J113" i="10"/>
  <c r="I113" i="10"/>
  <c r="I112" i="10"/>
  <c r="L112" i="10" s="1"/>
  <c r="L111" i="10"/>
  <c r="J111" i="10"/>
  <c r="I111" i="10"/>
  <c r="I110" i="10"/>
  <c r="J110" i="10" s="1"/>
  <c r="I109" i="10"/>
  <c r="L109" i="10" s="1"/>
  <c r="L108" i="10"/>
  <c r="J108" i="10"/>
  <c r="I108" i="10"/>
  <c r="I107" i="10"/>
  <c r="L107" i="10" s="1"/>
  <c r="I106" i="10"/>
  <c r="L106" i="10" s="1"/>
  <c r="L105" i="10"/>
  <c r="J105" i="10"/>
  <c r="I105" i="10"/>
  <c r="L104" i="10"/>
  <c r="J104" i="10"/>
  <c r="I104" i="10"/>
  <c r="L103" i="10"/>
  <c r="J103" i="10"/>
  <c r="I103" i="10"/>
  <c r="L102" i="10"/>
  <c r="I102" i="10"/>
  <c r="J102" i="10" s="1"/>
  <c r="L101" i="10"/>
  <c r="J101" i="10"/>
  <c r="I101" i="10"/>
  <c r="L100" i="10"/>
  <c r="J100" i="10"/>
  <c r="I100" i="10"/>
  <c r="J99" i="10"/>
  <c r="I99" i="10"/>
  <c r="L99" i="10" s="1"/>
  <c r="L98" i="10"/>
  <c r="J98" i="10"/>
  <c r="I98" i="10"/>
  <c r="L97" i="10"/>
  <c r="J97" i="10"/>
  <c r="I97" i="10"/>
  <c r="L96" i="10"/>
  <c r="I96" i="10"/>
  <c r="J96" i="10" s="1"/>
  <c r="I95" i="10"/>
  <c r="L95" i="10" s="1"/>
  <c r="L94" i="10"/>
  <c r="I94" i="10"/>
  <c r="J94" i="10" s="1"/>
  <c r="L93" i="10"/>
  <c r="I93" i="10"/>
  <c r="J93" i="10" s="1"/>
  <c r="I92" i="10"/>
  <c r="L92" i="10" s="1"/>
  <c r="J91" i="10"/>
  <c r="I91" i="10"/>
  <c r="L91" i="10" s="1"/>
  <c r="L90" i="10"/>
  <c r="I90" i="10"/>
  <c r="J90" i="10" s="1"/>
  <c r="L89" i="10"/>
  <c r="J89" i="10"/>
  <c r="I89" i="10"/>
  <c r="L88" i="10"/>
  <c r="J88" i="10"/>
  <c r="I88" i="10"/>
  <c r="I87" i="10"/>
  <c r="L87" i="10" s="1"/>
  <c r="I86" i="10"/>
  <c r="J86" i="10" s="1"/>
  <c r="L85" i="10"/>
  <c r="J85" i="10"/>
  <c r="I85" i="10"/>
  <c r="I84" i="10"/>
  <c r="L84" i="10" s="1"/>
  <c r="I83" i="10"/>
  <c r="L83" i="10" s="1"/>
  <c r="L82" i="10"/>
  <c r="J82" i="10"/>
  <c r="I82" i="10"/>
  <c r="I81" i="10"/>
  <c r="L81" i="10" s="1"/>
  <c r="I80" i="10"/>
  <c r="L80" i="10" s="1"/>
  <c r="L79" i="10"/>
  <c r="J79" i="10"/>
  <c r="I79" i="10"/>
  <c r="L78" i="10"/>
  <c r="J78" i="10"/>
  <c r="I78" i="10"/>
  <c r="L77" i="10"/>
  <c r="J77" i="10"/>
  <c r="I77" i="10"/>
  <c r="L76" i="10"/>
  <c r="I76" i="10"/>
  <c r="J76" i="10" s="1"/>
  <c r="I75" i="10"/>
  <c r="L75" i="10" s="1"/>
  <c r="L74" i="10"/>
  <c r="J74" i="10"/>
  <c r="I74" i="10"/>
  <c r="I73" i="10"/>
  <c r="L73" i="10" s="1"/>
  <c r="I72" i="10"/>
  <c r="L72" i="10" s="1"/>
  <c r="L71" i="10"/>
  <c r="J71" i="10"/>
  <c r="I71" i="10"/>
  <c r="L70" i="10"/>
  <c r="J70" i="10"/>
  <c r="I70" i="10"/>
  <c r="L69" i="10"/>
  <c r="J69" i="10"/>
  <c r="I69" i="10"/>
  <c r="L68" i="10"/>
  <c r="I68" i="10"/>
  <c r="J68" i="10" s="1"/>
  <c r="I67" i="10"/>
  <c r="L67" i="10" s="1"/>
  <c r="L66" i="10"/>
  <c r="J66" i="10"/>
  <c r="I66" i="10"/>
  <c r="I65" i="10"/>
  <c r="L65" i="10" s="1"/>
  <c r="I64" i="10"/>
  <c r="L64" i="10" s="1"/>
  <c r="L63" i="10"/>
  <c r="J63" i="10"/>
  <c r="I63" i="10"/>
  <c r="L62" i="10"/>
  <c r="J62" i="10"/>
  <c r="I62" i="10"/>
  <c r="L61" i="10"/>
  <c r="J61" i="10"/>
  <c r="I61" i="10"/>
  <c r="L60" i="10"/>
  <c r="I60" i="10"/>
  <c r="J60" i="10" s="1"/>
  <c r="I59" i="10"/>
  <c r="L59" i="10" s="1"/>
  <c r="L58" i="10"/>
  <c r="J58" i="10"/>
  <c r="I58" i="10"/>
  <c r="I57" i="10"/>
  <c r="L57" i="10" s="1"/>
  <c r="I56" i="10"/>
  <c r="L56" i="10" s="1"/>
  <c r="L55" i="10"/>
  <c r="J55" i="10"/>
  <c r="I55" i="10"/>
  <c r="L54" i="10"/>
  <c r="J54" i="10"/>
  <c r="I54" i="10"/>
  <c r="L53" i="10"/>
  <c r="J53" i="10"/>
  <c r="I53" i="10"/>
  <c r="L52" i="10"/>
  <c r="I52" i="10"/>
  <c r="J52" i="10" s="1"/>
  <c r="I51" i="10"/>
  <c r="L51" i="10" s="1"/>
  <c r="L50" i="10"/>
  <c r="J50" i="10"/>
  <c r="I50" i="10"/>
  <c r="I49" i="10"/>
  <c r="L49" i="10" s="1"/>
  <c r="I48" i="10"/>
  <c r="L48" i="10" s="1"/>
  <c r="L47" i="10"/>
  <c r="J47" i="10"/>
  <c r="I47" i="10"/>
  <c r="L46" i="10"/>
  <c r="J46" i="10"/>
  <c r="I46" i="10"/>
  <c r="L45" i="10"/>
  <c r="J45" i="10"/>
  <c r="I45" i="10"/>
  <c r="L44" i="10"/>
  <c r="I44" i="10"/>
  <c r="J44" i="10" s="1"/>
  <c r="I43" i="10"/>
  <c r="L43" i="10" s="1"/>
  <c r="L42" i="10"/>
  <c r="J42" i="10"/>
  <c r="I42" i="10"/>
  <c r="I41" i="10"/>
  <c r="L41" i="10" s="1"/>
  <c r="I40" i="10"/>
  <c r="L40" i="10" s="1"/>
  <c r="L39" i="10"/>
  <c r="J39" i="10"/>
  <c r="I39" i="10"/>
  <c r="L38" i="10"/>
  <c r="J38" i="10"/>
  <c r="I38" i="10"/>
  <c r="L37" i="10"/>
  <c r="J37" i="10"/>
  <c r="I37" i="10"/>
  <c r="L36" i="10"/>
  <c r="I36" i="10"/>
  <c r="J36" i="10" s="1"/>
  <c r="I35" i="10"/>
  <c r="L35" i="10" s="1"/>
  <c r="L34" i="10"/>
  <c r="J34" i="10"/>
  <c r="I34" i="10"/>
  <c r="I33" i="10"/>
  <c r="L33" i="10" s="1"/>
  <c r="I32" i="10"/>
  <c r="L32" i="10" s="1"/>
  <c r="L31" i="10"/>
  <c r="J31" i="10"/>
  <c r="I31" i="10"/>
  <c r="L30" i="10"/>
  <c r="J30" i="10"/>
  <c r="I30" i="10"/>
  <c r="L29" i="10"/>
  <c r="J29" i="10"/>
  <c r="I29" i="10"/>
  <c r="L28" i="10"/>
  <c r="I28" i="10"/>
  <c r="J28" i="10" s="1"/>
  <c r="I27" i="10"/>
  <c r="L27" i="10" s="1"/>
  <c r="L26" i="10"/>
  <c r="J26" i="10"/>
  <c r="I26" i="10"/>
  <c r="I25" i="10"/>
  <c r="L25" i="10" s="1"/>
  <c r="I24" i="10"/>
  <c r="L24" i="10" s="1"/>
  <c r="L23" i="10"/>
  <c r="J23" i="10"/>
  <c r="I23" i="10"/>
  <c r="L22" i="10"/>
  <c r="J22" i="10"/>
  <c r="I22" i="10"/>
  <c r="J21" i="10"/>
  <c r="I21" i="10"/>
  <c r="L21" i="10" s="1"/>
  <c r="L20" i="10"/>
  <c r="I20" i="10"/>
  <c r="J20" i="10" s="1"/>
  <c r="I19" i="10"/>
  <c r="L19" i="10" s="1"/>
  <c r="L18" i="10"/>
  <c r="J18" i="10"/>
  <c r="I18" i="10"/>
  <c r="I17" i="10"/>
  <c r="L17" i="10" s="1"/>
  <c r="I16" i="10"/>
  <c r="L16" i="10" s="1"/>
  <c r="L15" i="10"/>
  <c r="J15" i="10"/>
  <c r="I15" i="10"/>
  <c r="L14" i="10"/>
  <c r="J14" i="10"/>
  <c r="I14" i="10"/>
  <c r="J13" i="10"/>
  <c r="I13" i="10"/>
  <c r="L13" i="10" s="1"/>
  <c r="L12" i="10"/>
  <c r="I12" i="10"/>
  <c r="J12" i="10" s="1"/>
  <c r="I11" i="10"/>
  <c r="L11" i="10" s="1"/>
  <c r="L10" i="10"/>
  <c r="J10" i="10"/>
  <c r="I10" i="10"/>
  <c r="I9" i="10"/>
  <c r="L9" i="10" s="1"/>
  <c r="I8" i="10"/>
  <c r="L8" i="10" s="1"/>
  <c r="L7" i="10"/>
  <c r="J7" i="10"/>
  <c r="I7" i="10"/>
  <c r="L6" i="10"/>
  <c r="J6" i="10"/>
  <c r="I6" i="10"/>
  <c r="J5" i="10"/>
  <c r="I5" i="10"/>
  <c r="L5" i="10" s="1"/>
  <c r="L4" i="10"/>
  <c r="I4" i="10"/>
  <c r="J4" i="10" s="1"/>
  <c r="I3" i="10"/>
  <c r="L3" i="10" s="1"/>
  <c r="L2" i="10"/>
  <c r="J2" i="10"/>
  <c r="I2" i="10"/>
  <c r="E2" i="8"/>
  <c r="D2" i="8"/>
  <c r="F1" i="8"/>
  <c r="E1" i="8"/>
  <c r="D1" i="8"/>
  <c r="E2" i="7"/>
  <c r="D2" i="7"/>
  <c r="F1" i="7"/>
  <c r="E1" i="7"/>
  <c r="K2" i="6"/>
  <c r="J2" i="6"/>
  <c r="L1" i="6"/>
  <c r="K1" i="6"/>
  <c r="J1" i="6"/>
  <c r="D33" i="5"/>
  <c r="D32" i="5"/>
  <c r="D31" i="5"/>
  <c r="D30" i="5"/>
  <c r="D29" i="5"/>
  <c r="D28" i="5"/>
  <c r="D27" i="5"/>
  <c r="D26" i="5"/>
  <c r="D25" i="5"/>
  <c r="D24" i="5"/>
  <c r="D23" i="5"/>
  <c r="D22" i="5"/>
  <c r="D21" i="5"/>
  <c r="D20" i="5"/>
  <c r="D19" i="5"/>
  <c r="D18" i="5"/>
  <c r="D17" i="5"/>
  <c r="D16" i="5"/>
  <c r="D15" i="5"/>
  <c r="D14" i="5"/>
  <c r="D13" i="5"/>
  <c r="D12" i="5"/>
  <c r="D11" i="5"/>
  <c r="D10" i="5"/>
  <c r="D9" i="5"/>
  <c r="D8" i="5"/>
  <c r="D7" i="5"/>
  <c r="D6" i="5"/>
  <c r="D5" i="5"/>
  <c r="D4" i="5"/>
  <c r="D3" i="5"/>
  <c r="D2" i="5"/>
  <c r="G1" i="5" s="1"/>
  <c r="C4" i="4" s="1"/>
  <c r="S38" i="3"/>
  <c r="S37" i="3"/>
  <c r="S36" i="3"/>
  <c r="S35" i="3"/>
  <c r="S34" i="3"/>
  <c r="S33" i="3"/>
  <c r="S32" i="3"/>
  <c r="S31" i="3"/>
  <c r="S30" i="3"/>
  <c r="S29" i="3"/>
  <c r="S28" i="3"/>
  <c r="S27" i="3"/>
  <c r="S26" i="3"/>
  <c r="S25" i="3"/>
  <c r="S24" i="3"/>
  <c r="S23" i="3"/>
  <c r="S22" i="3"/>
  <c r="S21" i="3"/>
  <c r="S20" i="3"/>
  <c r="S18" i="3"/>
  <c r="S17" i="3"/>
  <c r="S16" i="3"/>
  <c r="S15" i="3"/>
  <c r="S14" i="3"/>
  <c r="S13" i="3"/>
  <c r="S12" i="3"/>
  <c r="S11" i="3"/>
  <c r="S10" i="3"/>
  <c r="S9" i="3"/>
  <c r="S8" i="3"/>
  <c r="S7" i="3"/>
  <c r="S6" i="3"/>
  <c r="S5" i="3"/>
  <c r="F2" i="3"/>
  <c r="E2" i="3"/>
  <c r="G1" i="3"/>
  <c r="F1" i="3"/>
  <c r="E1" i="3"/>
  <c r="B42" i="2"/>
  <c r="B41" i="2"/>
  <c r="B40" i="2"/>
  <c r="B39" i="2"/>
  <c r="B38" i="2"/>
  <c r="B37" i="2"/>
  <c r="B36" i="2"/>
  <c r="B35" i="2"/>
  <c r="B34" i="2"/>
  <c r="B33" i="2"/>
  <c r="B31" i="2"/>
  <c r="B30" i="2"/>
  <c r="B29" i="2"/>
  <c r="B28" i="2"/>
  <c r="B25" i="2"/>
  <c r="B24" i="2"/>
  <c r="B23" i="2"/>
  <c r="B22" i="2"/>
  <c r="B21" i="2"/>
  <c r="B20" i="2"/>
  <c r="B19" i="2"/>
  <c r="B18" i="2"/>
  <c r="B17" i="2"/>
  <c r="B16" i="2"/>
  <c r="B15" i="2"/>
  <c r="B14" i="2"/>
  <c r="B13" i="2"/>
  <c r="B12" i="2"/>
  <c r="B11" i="2"/>
  <c r="B10" i="2"/>
  <c r="B9" i="2"/>
  <c r="B8" i="2"/>
  <c r="B7" i="2"/>
  <c r="B6" i="2"/>
  <c r="B5" i="2"/>
  <c r="B4" i="2"/>
  <c r="B3" i="2"/>
  <c r="L318" i="10" l="1"/>
  <c r="J318" i="10"/>
  <c r="L350" i="10"/>
  <c r="J350" i="10"/>
  <c r="L382" i="10"/>
  <c r="J382" i="10"/>
  <c r="L414" i="10"/>
  <c r="J414" i="10"/>
  <c r="J8" i="10"/>
  <c r="J16" i="10"/>
  <c r="J24" i="10"/>
  <c r="J64" i="10"/>
  <c r="J80" i="10"/>
  <c r="J109" i="10"/>
  <c r="J141" i="10"/>
  <c r="J144" i="10"/>
  <c r="J170" i="10"/>
  <c r="J205" i="10"/>
  <c r="J208" i="10"/>
  <c r="J223" i="10"/>
  <c r="J232" i="10"/>
  <c r="L238" i="10"/>
  <c r="J238" i="10"/>
  <c r="J264" i="10"/>
  <c r="L270" i="10"/>
  <c r="J270" i="10"/>
  <c r="J32" i="10"/>
  <c r="J40" i="10"/>
  <c r="J48" i="10"/>
  <c r="J56" i="10"/>
  <c r="J72" i="10"/>
  <c r="J106" i="10"/>
  <c r="J112" i="10"/>
  <c r="J138" i="10"/>
  <c r="J173" i="10"/>
  <c r="J176" i="10"/>
  <c r="J202" i="10"/>
  <c r="J248" i="10"/>
  <c r="L254" i="10"/>
  <c r="J254" i="10"/>
  <c r="J280" i="10"/>
  <c r="L286" i="10"/>
  <c r="J286" i="10"/>
  <c r="L302" i="10"/>
  <c r="J302" i="10"/>
  <c r="J3" i="10"/>
  <c r="J11" i="10"/>
  <c r="J19" i="10"/>
  <c r="J27" i="10"/>
  <c r="J35" i="10"/>
  <c r="J43" i="10"/>
  <c r="J51" i="10"/>
  <c r="J59" i="10"/>
  <c r="J67" i="10"/>
  <c r="J75" i="10"/>
  <c r="J83" i="10"/>
  <c r="L86" i="10"/>
  <c r="J92" i="10"/>
  <c r="J95" i="10"/>
  <c r="J115" i="10"/>
  <c r="L118" i="10"/>
  <c r="J124" i="10"/>
  <c r="J127" i="10"/>
  <c r="J147" i="10"/>
  <c r="L150" i="10"/>
  <c r="J156" i="10"/>
  <c r="J159" i="10"/>
  <c r="J179" i="10"/>
  <c r="L182" i="10"/>
  <c r="J188" i="10"/>
  <c r="J191" i="10"/>
  <c r="J211" i="10"/>
  <c r="L214" i="10"/>
  <c r="J226" i="10"/>
  <c r="J229" i="10"/>
  <c r="J235" i="10"/>
  <c r="J251" i="10"/>
  <c r="J267" i="10"/>
  <c r="J283" i="10"/>
  <c r="J299" i="10"/>
  <c r="L319" i="10"/>
  <c r="L326" i="10"/>
  <c r="J326" i="10"/>
  <c r="L344" i="10"/>
  <c r="L351" i="10"/>
  <c r="L358" i="10"/>
  <c r="J358" i="10"/>
  <c r="L376" i="10"/>
  <c r="L383" i="10"/>
  <c r="L390" i="10"/>
  <c r="J390" i="10"/>
  <c r="L408" i="10"/>
  <c r="L415" i="10"/>
  <c r="J9" i="10"/>
  <c r="J17" i="10"/>
  <c r="J25" i="10"/>
  <c r="J33" i="10"/>
  <c r="J41" i="10"/>
  <c r="J49" i="10"/>
  <c r="J57" i="10"/>
  <c r="J65" i="10"/>
  <c r="J73" i="10"/>
  <c r="J81" i="10"/>
  <c r="J84" i="10"/>
  <c r="J87" i="10"/>
  <c r="J107" i="10"/>
  <c r="L110" i="10"/>
  <c r="J116" i="10"/>
  <c r="J119" i="10"/>
  <c r="J139" i="10"/>
  <c r="L142" i="10"/>
  <c r="J148" i="10"/>
  <c r="J151" i="10"/>
  <c r="J171" i="10"/>
  <c r="L174" i="10"/>
  <c r="J180" i="10"/>
  <c r="J183" i="10"/>
  <c r="J203" i="10"/>
  <c r="L206" i="10"/>
  <c r="J212" i="10"/>
  <c r="J215" i="10"/>
  <c r="J224" i="10"/>
  <c r="L230" i="10"/>
  <c r="J230" i="10"/>
  <c r="L320" i="10"/>
  <c r="L327" i="10"/>
  <c r="L334" i="10"/>
  <c r="J334" i="10"/>
  <c r="L352" i="10"/>
  <c r="L359" i="10"/>
  <c r="L366" i="10"/>
  <c r="J366" i="10"/>
  <c r="L384" i="10"/>
  <c r="L391" i="10"/>
  <c r="L398" i="10"/>
  <c r="J398" i="10"/>
  <c r="L416" i="10"/>
  <c r="J227" i="10"/>
  <c r="L246" i="10"/>
  <c r="J246" i="10"/>
  <c r="L262" i="10"/>
  <c r="J262" i="10"/>
  <c r="L278" i="10"/>
  <c r="J278" i="10"/>
  <c r="L294" i="10"/>
  <c r="J294" i="10"/>
  <c r="L310" i="10"/>
  <c r="J310" i="10"/>
  <c r="L342" i="10"/>
  <c r="J342" i="10"/>
  <c r="L374" i="10"/>
  <c r="J374" i="10"/>
  <c r="L406" i="10"/>
  <c r="J406" i="10"/>
  <c r="L222" i="10"/>
  <c r="J222" i="10"/>
</calcChain>
</file>

<file path=xl/comments1.xml><?xml version="1.0" encoding="utf-8"?>
<comments xmlns="http://schemas.openxmlformats.org/spreadsheetml/2006/main">
  <authors>
    <author>Huiyi Wang</author>
  </authors>
  <commentList>
    <comment ref="F1" authorId="0" shapeId="0">
      <text>
        <r>
          <rPr>
            <sz val="11"/>
            <color theme="1"/>
            <rFont val="Calibri"/>
            <family val="2"/>
            <scheme val="minor"/>
          </rPr>
          <t>Huiyi Wang:
800000bps is not supported due to 100MHz is used for VPP</t>
        </r>
      </text>
    </comment>
    <comment ref="H1" authorId="0" shapeId="0">
      <text>
        <r>
          <rPr>
            <sz val="11"/>
            <color theme="1"/>
            <rFont val="Calibri"/>
            <family val="2"/>
            <scheme val="minor"/>
          </rPr>
          <t>Huiyi Wang:
800000bps is not supported due to 100MHz is used for VPP</t>
        </r>
      </text>
    </comment>
  </commentList>
</comments>
</file>

<file path=xl/comments2.xml><?xml version="1.0" encoding="utf-8"?>
<comments xmlns="http://schemas.openxmlformats.org/spreadsheetml/2006/main">
  <authors>
    <author>Huiyi Wang</author>
  </authors>
  <commentList>
    <comment ref="F3" authorId="0" shapeId="0">
      <text>
        <r>
          <rPr>
            <sz val="11"/>
            <color theme="1"/>
            <rFont val="Calibri"/>
            <family val="2"/>
            <scheme val="minor"/>
          </rPr>
          <t>Huiyi Wang:
coming from SENSING or other STATUS. The following row is the else case implicitly.</t>
        </r>
      </text>
    </comment>
    <comment ref="F5" authorId="0" shapeId="0">
      <text>
        <r>
          <rPr>
            <sz val="11"/>
            <color theme="1"/>
            <rFont val="Calibri"/>
            <family val="2"/>
            <scheme val="minor"/>
          </rPr>
          <t>Huiyi Wang:
status 2</t>
        </r>
      </text>
    </comment>
    <comment ref="F8" authorId="0" shapeId="0">
      <text>
        <r>
          <rPr>
            <sz val="11"/>
            <color theme="1"/>
            <rFont val="Calibri"/>
            <family val="2"/>
            <scheme val="minor"/>
          </rPr>
          <t>Huiyi Wang:
status 2</t>
        </r>
      </text>
    </comment>
    <comment ref="F9" authorId="0" shapeId="0">
      <text>
        <r>
          <rPr>
            <sz val="11"/>
            <color theme="1"/>
            <rFont val="Calibri"/>
            <family val="2"/>
            <scheme val="minor"/>
          </rPr>
          <t>Huiyi Wang:
status 2</t>
        </r>
      </text>
    </comment>
  </commentList>
</comments>
</file>

<file path=xl/comments3.xml><?xml version="1.0" encoding="utf-8"?>
<comments xmlns="http://schemas.openxmlformats.org/spreadsheetml/2006/main">
  <authors>
    <author>Elie Issa</author>
  </authors>
  <commentList>
    <comment ref="B3" authorId="0" shapeId="0">
      <text>
        <r>
          <rPr>
            <sz val="11"/>
            <color theme="1"/>
            <rFont val="Calibri"/>
            <family val="2"/>
            <scheme val="minor"/>
          </rPr>
          <t xml:space="preserve">Elie Issa:
Enter the currents from car of each function </t>
        </r>
      </text>
    </comment>
    <comment ref="D3" authorId="0" shapeId="0">
      <text>
        <r>
          <rPr>
            <sz val="11"/>
            <color theme="1"/>
            <rFont val="Calibri"/>
            <family val="2"/>
            <scheme val="minor"/>
          </rPr>
          <t>Elie Issa:
define wire color in vehicle</t>
        </r>
      </text>
    </comment>
    <comment ref="E3" authorId="0" shapeId="0">
      <text>
        <r>
          <rPr>
            <sz val="11"/>
            <color theme="1"/>
            <rFont val="Calibri"/>
            <family val="2"/>
            <scheme val="minor"/>
          </rPr>
          <t>Elie Issa:
is this connection needed for remote start?</t>
        </r>
      </text>
    </comment>
    <comment ref="F3" authorId="0" shapeId="0">
      <text>
        <r>
          <rPr>
            <sz val="11"/>
            <color theme="1"/>
            <rFont val="Calibri"/>
            <family val="2"/>
            <scheme val="minor"/>
          </rPr>
          <t>Elie Issa:
does this vehicle require brake before remote start?</t>
        </r>
      </text>
    </comment>
    <comment ref="G3" authorId="0" shapeId="0">
      <text>
        <r>
          <rPr>
            <sz val="11"/>
            <color theme="1"/>
            <rFont val="Calibri"/>
            <family val="2"/>
            <scheme val="minor"/>
          </rPr>
          <t>Elie Issa:
define the voltage required</t>
        </r>
      </text>
    </comment>
    <comment ref="H3" authorId="0" shapeId="0">
      <text>
        <r>
          <rPr>
            <sz val="11"/>
            <color theme="1"/>
            <rFont val="Calibri"/>
            <family val="2"/>
            <scheme val="minor"/>
          </rPr>
          <t>Elie Issa:
define the resistance required if any</t>
        </r>
      </text>
    </comment>
    <comment ref="I3" authorId="0" shapeId="0">
      <text>
        <r>
          <rPr>
            <sz val="11"/>
            <color theme="1"/>
            <rFont val="Calibri"/>
            <family val="2"/>
            <scheme val="minor"/>
          </rPr>
          <t>Elie Issa:
add any additional connections required to achieve the function in question, such as diodes if needed when connecting 2 pts outputs or a starter and a brake on the same outputs</t>
        </r>
      </text>
    </comment>
  </commentList>
</comments>
</file>

<file path=xl/comments4.xml><?xml version="1.0" encoding="utf-8"?>
<comments xmlns="http://schemas.openxmlformats.org/spreadsheetml/2006/main">
  <authors>
    <author>Elie Issa</author>
  </authors>
  <commentList>
    <comment ref="E6" authorId="0" shapeId="0">
      <text>
        <r>
          <rPr>
            <sz val="11"/>
            <color theme="1"/>
            <rFont val="Calibri"/>
            <family val="2"/>
            <scheme val="minor"/>
          </rPr>
          <t>Elie Issa:
alt 248 for degree</t>
        </r>
      </text>
    </comment>
  </commentList>
</comments>
</file>

<file path=xl/sharedStrings.xml><?xml version="1.0" encoding="utf-8"?>
<sst xmlns="http://schemas.openxmlformats.org/spreadsheetml/2006/main" count="4772" uniqueCount="1359">
  <si>
    <t>VEHICLE YEAR</t>
  </si>
  <si>
    <t>VEHICLE MAKE</t>
  </si>
  <si>
    <t>VEHICLE MODEL</t>
  </si>
  <si>
    <t>TRANSMISSION</t>
  </si>
  <si>
    <t>Car Type</t>
  </si>
  <si>
    <t>CAN1</t>
  </si>
  <si>
    <t>CAN1 TYPE</t>
  </si>
  <si>
    <t>CAN2</t>
  </si>
  <si>
    <t>CAN2 TYPE</t>
  </si>
  <si>
    <t>FW NAME</t>
  </si>
  <si>
    <t>VPP VERSION</t>
  </si>
  <si>
    <t>SMART KEY TYPE</t>
  </si>
  <si>
    <t>BYPASS VERSION</t>
  </si>
  <si>
    <t>HONDA PUSH2START GAZ</t>
  </si>
  <si>
    <t>ACCORD 4DOOR SEDAN</t>
  </si>
  <si>
    <t>Auto</t>
  </si>
  <si>
    <t>Key</t>
  </si>
  <si>
    <t>Dual Wire</t>
  </si>
  <si>
    <t>HONDA0101</t>
  </si>
  <si>
    <t>HONDA</t>
  </si>
  <si>
    <t>FEATURES</t>
  </si>
  <si>
    <t>Supported</t>
  </si>
  <si>
    <t xml:space="preserve">AV-Auto Headlamp Shutoff </t>
  </si>
  <si>
    <t xml:space="preserve">AV-Panic Mode Activation </t>
  </si>
  <si>
    <t xml:space="preserve">AV-Parking Lights Control </t>
  </si>
  <si>
    <t xml:space="preserve">CC-Comfort Closure windows </t>
  </si>
  <si>
    <t xml:space="preserve">CC-Heated Mirrors </t>
  </si>
  <si>
    <t xml:space="preserve">CC-Heated Seats Activation </t>
  </si>
  <si>
    <t xml:space="preserve">CC-Power Sunroof </t>
  </si>
  <si>
    <t xml:space="preserve">CC-Power Windows Rolldown </t>
  </si>
  <si>
    <t xml:space="preserve">CC-Power Windows Rollup </t>
  </si>
  <si>
    <t xml:space="preserve">CC-Rear Window Defogger Activation </t>
  </si>
  <si>
    <t xml:space="preserve">DL-Arm Factory Security </t>
  </si>
  <si>
    <t xml:space="preserve">DL-Disarm Factory Security </t>
  </si>
  <si>
    <t xml:space="preserve">DL-Door Lock Control </t>
  </si>
  <si>
    <t xml:space="preserve">DL-Door Unlock </t>
  </si>
  <si>
    <t xml:space="preserve">DL-Driver Priority Unlock </t>
  </si>
  <si>
    <t xml:space="preserve">DL-Fuel Door Release </t>
  </si>
  <si>
    <t xml:space="preserve">DL-Hatch Glass Release </t>
  </si>
  <si>
    <t xml:space="preserve">DL-Sliding Door Control Driver </t>
  </si>
  <si>
    <t xml:space="preserve">DL-Sliding Door Control Passenger </t>
  </si>
  <si>
    <t xml:space="preserve">DL-Trunk Release </t>
  </si>
  <si>
    <t>DL- Hatch Release</t>
  </si>
  <si>
    <t>DL- Motorized Trunk Release</t>
  </si>
  <si>
    <t xml:space="preserve">FOB-Control of aftermarket alarm with OEM remote </t>
  </si>
  <si>
    <t>PK-Immobilizer Bypass-Data No Key Req'd</t>
  </si>
  <si>
    <t xml:space="preserve">PK-Universal RF Bypass- Key Req'd </t>
  </si>
  <si>
    <t xml:space="preserve">RS-3x LOCK START (Start control using OEM Remote) </t>
  </si>
  <si>
    <t xml:space="preserve">RS-3x LOCK STOP (Start control using OEM Remote) </t>
  </si>
  <si>
    <t xml:space="preserve">RS-OEM Remote Start Activation using XL-202 or RF kit </t>
  </si>
  <si>
    <t xml:space="preserve">RS-RAP Shut Down (Retained ACC Power) </t>
  </si>
  <si>
    <t xml:space="preserve">RS-Remote Start Ready </t>
  </si>
  <si>
    <t>x</t>
  </si>
  <si>
    <t xml:space="preserve">RS-Tach / RPM Output </t>
  </si>
  <si>
    <t xml:space="preserve">SS-Entry Monitoring ALL Door Pins </t>
  </si>
  <si>
    <t xml:space="preserve">SS-Entry Monitoring Hood Pin </t>
  </si>
  <si>
    <t xml:space="preserve">SS-Entry Monitoring Trunk/Hatch Pin </t>
  </si>
  <si>
    <t xml:space="preserve">SS-Factory Alarm Trigger Monitoring </t>
  </si>
  <si>
    <t xml:space="preserve">ST-Brake Status (foot brake) </t>
  </si>
  <si>
    <t xml:space="preserve">ST-Door Locks Status </t>
  </si>
  <si>
    <t xml:space="preserve">ST-Hand Brake Status </t>
  </si>
  <si>
    <t xml:space="preserve">ST-Ignition Status </t>
  </si>
  <si>
    <t>Runsafe</t>
  </si>
  <si>
    <t>Base your sensing as much as possible on the CAN where the doorlock function IDs exist. In the case where multiple IDs for the same sensing exists on the same CAN or a different CAN, input only one ID in the fields below(based on the rule mentioned above) and input the other IDs and data in the comment section. Follow examples provided below.</t>
  </si>
  <si>
    <t>Sensings</t>
  </si>
  <si>
    <t>#define NAME</t>
  </si>
  <si>
    <t>Group</t>
  </si>
  <si>
    <t>Type</t>
  </si>
  <si>
    <t>CAN Protocol</t>
  </si>
  <si>
    <t>CAN ID</t>
  </si>
  <si>
    <t>Byte Location</t>
  </si>
  <si>
    <t>Mask</t>
  </si>
  <si>
    <t>Operator Mid</t>
  </si>
  <si>
    <t>Operator Front</t>
  </si>
  <si>
    <t>Comparator</t>
  </si>
  <si>
    <t>Byte to Compare</t>
  </si>
  <si>
    <t>Factor</t>
  </si>
  <si>
    <t>Exponent</t>
  </si>
  <si>
    <t>Operator Last</t>
  </si>
  <si>
    <t>Offset</t>
  </si>
  <si>
    <t>Units</t>
  </si>
  <si>
    <t>COMMENT</t>
  </si>
  <si>
    <t>Trapping</t>
  </si>
  <si>
    <t>ENT_HOOD_OPEN</t>
  </si>
  <si>
    <t>0x0B</t>
  </si>
  <si>
    <t>Digital</t>
  </si>
  <si>
    <t>ENT_SLIDE_DOOR_RP_POSITION</t>
  </si>
  <si>
    <t>0x02</t>
  </si>
  <si>
    <t>ENT_TRUNK_GLASS_OPEN</t>
  </si>
  <si>
    <t>ENT_GAS_CAP_OPEN</t>
  </si>
  <si>
    <t>ENT_WINDOWS_FD_UP</t>
  </si>
  <si>
    <t>0x10</t>
  </si>
  <si>
    <t>ENT_ROOFTOP_OPEN</t>
  </si>
  <si>
    <t>RKE_REMOTE_ID</t>
  </si>
  <si>
    <t>0x0C</t>
  </si>
  <si>
    <t>RKE_IDLE</t>
  </si>
  <si>
    <t>RKE_LOCK</t>
  </si>
  <si>
    <t>RKE_UNLOCK</t>
  </si>
  <si>
    <t>RKE_TRUNK</t>
  </si>
  <si>
    <t>RKE_PANIC</t>
  </si>
  <si>
    <t>RKE_DRIVER_SLIDE_DOOR</t>
  </si>
  <si>
    <t>RKE_POP_GLASS</t>
  </si>
  <si>
    <t>DL_HANDLE_FD</t>
  </si>
  <si>
    <t>0x0D</t>
  </si>
  <si>
    <t>NO</t>
  </si>
  <si>
    <t>DL_HANDLE_FP</t>
  </si>
  <si>
    <t>DL_HANDLE_TRUNK</t>
  </si>
  <si>
    <t>DL_GAS_CAP_LOCK</t>
  </si>
  <si>
    <t>DL_KEYPAD_IDLE</t>
  </si>
  <si>
    <t>DL_KEYPAD_LOCK</t>
  </si>
  <si>
    <t>DL_KEYPAD_UNLOCK</t>
  </si>
  <si>
    <t>DL_KEYPAD_TRUNK</t>
  </si>
  <si>
    <t>DL_BARREL_DRIVER_KEY_IN</t>
  </si>
  <si>
    <t>DL_FOLD_MIRROR_OPEN</t>
  </si>
  <si>
    <t>DL_GLOVE_COMP_LOCK</t>
  </si>
  <si>
    <t>SEC_ALARM_DISARM</t>
  </si>
  <si>
    <t>0x0F</t>
  </si>
  <si>
    <t>SEC_ALARM_ARMING</t>
  </si>
  <si>
    <t>SEC_ALARM_ARMED</t>
  </si>
  <si>
    <t>SEC_ALARM_TRIGGERED</t>
  </si>
  <si>
    <t>SEC_LIGHT_ON</t>
  </si>
  <si>
    <t>SAF_BRAKE_SWITCH_ON</t>
  </si>
  <si>
    <t>SAF_EMERGENCY_BRAKE_ON</t>
  </si>
  <si>
    <t>SEC_ALARM_LIGHT_ON</t>
  </si>
  <si>
    <t>IGN_SW_KEY_IN</t>
  </si>
  <si>
    <t>IGN_SW_IGN</t>
  </si>
  <si>
    <t>IGN_SW_START</t>
  </si>
  <si>
    <t>EXTERNAL_LIGHT_PARK</t>
  </si>
  <si>
    <t>EXTERNAL_LIGHT_LOW_BEAM</t>
  </si>
  <si>
    <t>EXTERNAL_LIGHT_HIGH_BEAM</t>
  </si>
  <si>
    <t>EXTERNAL_LIGHT_HAZARD</t>
  </si>
  <si>
    <t>SETTING</t>
  </si>
  <si>
    <t>LEN</t>
  </si>
  <si>
    <t>VALUE</t>
  </si>
  <si>
    <t>CAN_TIMING1</t>
  </si>
  <si>
    <t>0x55555555</t>
  </si>
  <si>
    <t>AGGREGATED_SENSE</t>
  </si>
  <si>
    <t>0x0303</t>
  </si>
  <si>
    <t>VP_MODULE_ENABLE</t>
  </si>
  <si>
    <t>VP_TACH_RATIO_CFG</t>
  </si>
  <si>
    <t>ID</t>
  </si>
  <si>
    <t>Module name</t>
  </si>
  <si>
    <t>Enable</t>
  </si>
  <si>
    <t>Temp value</t>
  </si>
  <si>
    <t>mIdFreeRtosExample</t>
  </si>
  <si>
    <t>mIdDebugCli</t>
  </si>
  <si>
    <t>mIdPubSubExample</t>
  </si>
  <si>
    <t>mIdTest</t>
  </si>
  <si>
    <t>mIdCan</t>
  </si>
  <si>
    <t>mIdCan2dbgcli</t>
  </si>
  <si>
    <t>mIdSensing</t>
  </si>
  <si>
    <t>mIdTimerExample</t>
  </si>
  <si>
    <t>mIdDetect</t>
  </si>
  <si>
    <t>mIdOutput</t>
  </si>
  <si>
    <t>mIdFunctionLP</t>
  </si>
  <si>
    <t>mIdFunctionTrapping</t>
  </si>
  <si>
    <t>mIdIsoComm</t>
  </si>
  <si>
    <t>mIdHt2LinGM</t>
  </si>
  <si>
    <t>mIdHt2</t>
  </si>
  <si>
    <t>mIdHt2crypt</t>
  </si>
  <si>
    <t>mIdKey</t>
  </si>
  <si>
    <t>mIdHybp</t>
  </si>
  <si>
    <t>mIdHobp</t>
  </si>
  <si>
    <t>mIdInput</t>
  </si>
  <si>
    <t>mIdOBDII</t>
  </si>
  <si>
    <t>Functions</t>
  </si>
  <si>
    <t>IF ELSE</t>
  </si>
  <si>
    <t>Status</t>
  </si>
  <si>
    <t>Status Value</t>
  </si>
  <si>
    <t>Consecutive</t>
  </si>
  <si>
    <t>Msg Length</t>
  </si>
  <si>
    <t>Data</t>
  </si>
  <si>
    <t>Delay(ms)</t>
  </si>
  <si>
    <t>Repeat</t>
  </si>
  <si>
    <t>LOW_PRIORITY0</t>
  </si>
  <si>
    <t>IF</t>
  </si>
  <si>
    <t>equal</t>
  </si>
  <si>
    <t>ENT_DOOR_FD_OPEN</t>
  </si>
  <si>
    <t>1</t>
  </si>
  <si>
    <t>0x100</t>
  </si>
  <si>
    <t>4</t>
  </si>
  <si>
    <t>99 99 99 99</t>
  </si>
  <si>
    <t>5</t>
  </si>
  <si>
    <t>3</t>
  </si>
  <si>
    <t>ELSE</t>
  </si>
  <si>
    <t>0x700</t>
  </si>
  <si>
    <t>FF</t>
  </si>
  <si>
    <t>LOW_PRIORITY1</t>
  </si>
  <si>
    <t>88 88 88 88</t>
  </si>
  <si>
    <t>FE</t>
  </si>
  <si>
    <t xml:space="preserve"> IF you are using the function please select ACTIVE</t>
  </si>
  <si>
    <t>CMDs</t>
  </si>
  <si>
    <t>STATE</t>
  </si>
  <si>
    <t>FUNCTION CMDs STEPS</t>
  </si>
  <si>
    <t>DOOR LOCK CONTROL</t>
  </si>
  <si>
    <t>ACTIVE</t>
  </si>
  <si>
    <t>wake up 1
delay 100 ms
wake up 2
delay 100 ms
3x lock( 40 ms delay)
3x idle (40 ms delay)</t>
  </si>
  <si>
    <t>DOOR UNLOCK ALL</t>
  </si>
  <si>
    <t>wake up 1
delay 100 ms
wake up 2
delay 100 ms
3x unlock driver (40 ms delay)
3x idle (40 ms delay)
3x unlock driver (40 ms delay)
3x idle (40 ms delay)</t>
  </si>
  <si>
    <t>DRIVER PRIORITY UNLOCK</t>
  </si>
  <si>
    <t>wake up 1
delay 100 ms
wake up 2
delay 100 ms
3x unlock driver (40 ms delay)
3x idle (40 ms delay)</t>
  </si>
  <si>
    <t>DOOR LOCK IGN ON</t>
  </si>
  <si>
    <t>4x Lock Ign On (40 ms delay)</t>
  </si>
  <si>
    <t>DOOR UNLOCK IGN ON</t>
  </si>
  <si>
    <t>4x Unlock Ign On (40 ms delay)</t>
  </si>
  <si>
    <t>MIRROR FOLDING</t>
  </si>
  <si>
    <t xml:space="preserve">Scantool enter diagnostic mode
delay 1000 ms
Mirror folding 
delay 100 ms
</t>
  </si>
  <si>
    <t>MIRROR UNFOLDING</t>
  </si>
  <si>
    <t xml:space="preserve">Scantool enter diagnostic mode
delay 1000 ms
Mirror unfolding 
delay 100 ms
</t>
  </si>
  <si>
    <t>TRUNK RELEASE</t>
  </si>
  <si>
    <t>wake up 1
delay 100 ms
wake up 2
delay 100 ms
3x trunk Open  (40 ms delay)
3x idle (40 ms delay)</t>
  </si>
  <si>
    <t>HATCH GLASS RELEASE</t>
  </si>
  <si>
    <t>NOT ACTIVE</t>
  </si>
  <si>
    <t>MOTORIZED TRUNK RELEASE</t>
  </si>
  <si>
    <t>HATCH RELEASE</t>
  </si>
  <si>
    <t>SLIDING DOOR CONTROL DRIVER</t>
  </si>
  <si>
    <t>SLIDING DOOR CONTROL PASSENGER</t>
  </si>
  <si>
    <t>ARM FACTORY SECURITY</t>
  </si>
  <si>
    <t>DISARM FACTORY SECURITY</t>
  </si>
  <si>
    <t>FUEL DOOR RELEASE</t>
  </si>
  <si>
    <t>PARKING LIGHTS CONTROL</t>
  </si>
  <si>
    <t>PANIC MODE ACTIVATION</t>
  </si>
  <si>
    <t>AUTO HEADLAMP SHUTOFF</t>
  </si>
  <si>
    <t>COMFORT CLOSURE WINDOWS</t>
  </si>
  <si>
    <t>HEATED MIRRORS</t>
  </si>
  <si>
    <t>HEATED SEATS ACTIVATION</t>
  </si>
  <si>
    <t>POWER SUNROOF</t>
  </si>
  <si>
    <t>POWER WINDOWS ROLLUP</t>
  </si>
  <si>
    <t>POWER WINDOWS ROLLDOWN</t>
  </si>
  <si>
    <t>REAR WINDOW DEFOGGER ACTIVATION</t>
  </si>
  <si>
    <t>RAP SHUTDOWN</t>
  </si>
  <si>
    <t xml:space="preserve">
RAP Msg
</t>
  </si>
  <si>
    <t>RXT START</t>
  </si>
  <si>
    <t>RXT STOP</t>
  </si>
  <si>
    <t>Currents(mA)</t>
  </si>
  <si>
    <t>Polarity</t>
  </si>
  <si>
    <t>Wire Colour</t>
  </si>
  <si>
    <t>Required?</t>
  </si>
  <si>
    <t>Brake before start?</t>
  </si>
  <si>
    <t>MUX(V)</t>
  </si>
  <si>
    <t>Resistance(Ω)</t>
  </si>
  <si>
    <t xml:space="preserve">Accessory 1 </t>
  </si>
  <si>
    <t>Positive</t>
  </si>
  <si>
    <t>Blue</t>
  </si>
  <si>
    <t>yes</t>
  </si>
  <si>
    <t>N/A</t>
  </si>
  <si>
    <t>Driver kick panel</t>
  </si>
  <si>
    <t>Accessory 2</t>
  </si>
  <si>
    <t>Ignition 1</t>
  </si>
  <si>
    <t>Yellow</t>
  </si>
  <si>
    <t>Ignition 2</t>
  </si>
  <si>
    <t>Starter</t>
  </si>
  <si>
    <t>150</t>
  </si>
  <si>
    <t>pink</t>
  </si>
  <si>
    <t>I/P junction box</t>
  </si>
  <si>
    <t>KeySense</t>
  </si>
  <si>
    <t>PTS 1</t>
  </si>
  <si>
    <t>Negative</t>
  </si>
  <si>
    <t>yellow/orange</t>
  </si>
  <si>
    <t>PTS BUTTON</t>
  </si>
  <si>
    <t>PTS 2</t>
  </si>
  <si>
    <t>orange/black</t>
  </si>
  <si>
    <t>Parking lights</t>
  </si>
  <si>
    <t>~2</t>
  </si>
  <si>
    <t>Mux</t>
  </si>
  <si>
    <t>YES</t>
  </si>
  <si>
    <t>3v , Steering column</t>
  </si>
  <si>
    <t>Takeover</t>
  </si>
  <si>
    <t>gray/orange</t>
  </si>
  <si>
    <t>bypass</t>
  </si>
  <si>
    <t>white/orange</t>
  </si>
  <si>
    <t>Entry monitoring</t>
  </si>
  <si>
    <t>ENT_DOOR_OPEN</t>
  </si>
  <si>
    <t>Door front driver open</t>
  </si>
  <si>
    <t>Door front driver close</t>
  </si>
  <si>
    <t>ENT_DOOR_FD_CLOSE</t>
  </si>
  <si>
    <t>Door front passenger open</t>
  </si>
  <si>
    <t>ENT_DOOR_FP_OPEN</t>
  </si>
  <si>
    <t>Door front passenger close</t>
  </si>
  <si>
    <t>ENT_DOOR_FP_CLOSE</t>
  </si>
  <si>
    <t>Door rear passenger open</t>
  </si>
  <si>
    <t>ENT_DOOR_RP_OPEN</t>
  </si>
  <si>
    <t>Door rear passenger close</t>
  </si>
  <si>
    <t>ENT_DOOR_RP_CLOSE</t>
  </si>
  <si>
    <t>Door rear driver open</t>
  </si>
  <si>
    <t>ENT_DOOR_RD_OPEN</t>
  </si>
  <si>
    <t>Door rear driver close</t>
  </si>
  <si>
    <t>ENT_DOOR_RD_CLOSE</t>
  </si>
  <si>
    <t>Trunk open</t>
  </si>
  <si>
    <t>ENT_TRUNK_OPEN</t>
  </si>
  <si>
    <t>Trunk close</t>
  </si>
  <si>
    <t>ENT_TRUNK_CLOSE</t>
  </si>
  <si>
    <t>Hood open</t>
  </si>
  <si>
    <t>Hood close</t>
  </si>
  <si>
    <t>ENT_HOOD_CLOSE</t>
  </si>
  <si>
    <t xml:space="preserve">Slidding door rear passenger position </t>
  </si>
  <si>
    <t xml:space="preserve">Slidding door rear driver position </t>
  </si>
  <si>
    <t>ENT_SLIDE_DOOR_RD_POSITION</t>
  </si>
  <si>
    <t>Trunk position</t>
  </si>
  <si>
    <t>ENT_TRUNK_POSITION</t>
  </si>
  <si>
    <t>trunk close button (for mothorized)</t>
  </si>
  <si>
    <t>ENT_TRUNK_CLOSE_BUTTON</t>
  </si>
  <si>
    <t>Trunk glass open</t>
  </si>
  <si>
    <t>Trunk glass close</t>
  </si>
  <si>
    <t>ENT_TRUNK_GLASS_CLOSE</t>
  </si>
  <si>
    <t>Trunk sun viser open</t>
  </si>
  <si>
    <t>ENT_TRUNK_SUN_VISER_OPEN</t>
  </si>
  <si>
    <t>Trunk sun viser close</t>
  </si>
  <si>
    <t>ENT_TRUNK_SUN_VISER_CLOSE</t>
  </si>
  <si>
    <t>Gas cap open</t>
  </si>
  <si>
    <t>Gas cap close</t>
  </si>
  <si>
    <t>ENT_GAS_CAP_CLOSE</t>
  </si>
  <si>
    <t xml:space="preserve">sun roof front open </t>
  </si>
  <si>
    <t>ENT_SUNROOF_FRONT_OPEN</t>
  </si>
  <si>
    <t xml:space="preserve">sun roof front close </t>
  </si>
  <si>
    <t>ENT_SUNROOF_FRONT_CLOSE</t>
  </si>
  <si>
    <t>sun roof front tilt</t>
  </si>
  <si>
    <t>ENT_SUNROOF_FRONT_TILT</t>
  </si>
  <si>
    <t xml:space="preserve">Sun roof front position </t>
  </si>
  <si>
    <t>ENT_SUNROOF_FRONT_POSITION</t>
  </si>
  <si>
    <t>sun roof visor front open</t>
  </si>
  <si>
    <t>ENT_SUNROOF_VISOR_FRONT_OPEN</t>
  </si>
  <si>
    <t>sun roof visor front close</t>
  </si>
  <si>
    <t>ENT_SUNROOF_VISOR_FRONT_CLOSE</t>
  </si>
  <si>
    <t xml:space="preserve">sun roof rear open </t>
  </si>
  <si>
    <t>ENT_SUNROOF_REAR_OPEN</t>
  </si>
  <si>
    <t xml:space="preserve">sun roof rear close </t>
  </si>
  <si>
    <t>ENT_SUNROOF_REAR_CLOSE</t>
  </si>
  <si>
    <t>sun roof rear tilt</t>
  </si>
  <si>
    <t>ENT_SUNROOF_REAR_TILT</t>
  </si>
  <si>
    <t xml:space="preserve">Sun roof rear position </t>
  </si>
  <si>
    <t>ENT_SUNROOF_REAR_POSITION</t>
  </si>
  <si>
    <t>sun roof visor rear open</t>
  </si>
  <si>
    <t>ENT_SUNROOF_VISOR_REAR_OPEN</t>
  </si>
  <si>
    <t>sun roof visor rear close</t>
  </si>
  <si>
    <t>ENT_SUNROOF_VISOR_REAR_CLOSE</t>
  </si>
  <si>
    <t>Windows front driver   up</t>
  </si>
  <si>
    <t>Windows front driver   down</t>
  </si>
  <si>
    <t>ENT_WINDOWS_FD_DOWN</t>
  </si>
  <si>
    <t>Windows front passenger   up</t>
  </si>
  <si>
    <t>ENT_WINDOWS_FP_UP</t>
  </si>
  <si>
    <t>Windows front passenger   down</t>
  </si>
  <si>
    <t>ENT_WINDOWS_FP_DOWN</t>
  </si>
  <si>
    <t>Windows rear passenger   up</t>
  </si>
  <si>
    <t>ENT_WINDOWS_RP_UP</t>
  </si>
  <si>
    <t>Windows rear passenger   down</t>
  </si>
  <si>
    <t>ENT_WINDOWS_RP_DOWN</t>
  </si>
  <si>
    <t>Windows rear driver   up</t>
  </si>
  <si>
    <t>ENT_WINDOWS_RD_UP</t>
  </si>
  <si>
    <t>Windows rear dirver   down</t>
  </si>
  <si>
    <t>ENT_WINDOWS_RD_DOWN</t>
  </si>
  <si>
    <t>Windows trunk Up</t>
  </si>
  <si>
    <t>ENT_WINDOWS_TRUNK_UP</t>
  </si>
  <si>
    <t>Windows trunk down</t>
  </si>
  <si>
    <t>ENT_WINDOWS_TRUNK_DOWN</t>
  </si>
  <si>
    <t>Roof top close</t>
  </si>
  <si>
    <t>Roof top open</t>
  </si>
  <si>
    <t>ENT_ROOFTOP_CLOSE</t>
  </si>
  <si>
    <t>Roof top position</t>
  </si>
  <si>
    <t>ENT_ROOFTOP_POSITION</t>
  </si>
  <si>
    <t>RKE/FOB</t>
  </si>
  <si>
    <t>RKE  REMOTE ID</t>
  </si>
  <si>
    <t>RKE  idle</t>
  </si>
  <si>
    <t>RKE  lock</t>
  </si>
  <si>
    <t>RKE  lock hold</t>
  </si>
  <si>
    <t>RKE_LOCK_HOLD</t>
  </si>
  <si>
    <t>RKE  unlock</t>
  </si>
  <si>
    <t>RKE  unlock all</t>
  </si>
  <si>
    <t>RKE_UNLOCK_ALL</t>
  </si>
  <si>
    <t>RKE  unlock hold</t>
  </si>
  <si>
    <t>RKE_UNLOCK_HOLD</t>
  </si>
  <si>
    <t>RKE  trunk</t>
  </si>
  <si>
    <t>RKE  trunk hold</t>
  </si>
  <si>
    <t>RKE_TRUNK_HOLD</t>
  </si>
  <si>
    <t>RKE  panic</t>
  </si>
  <si>
    <t>RKE  driver slidding door</t>
  </si>
  <si>
    <t>RKE  passeger slidding door</t>
  </si>
  <si>
    <t>RKE_PASS_SLIDE_DOOR</t>
  </si>
  <si>
    <t>RKE  remote start</t>
  </si>
  <si>
    <t>RKE_REMOTE_START</t>
  </si>
  <si>
    <t>RKE  pop glass</t>
  </si>
  <si>
    <t>FOB detection</t>
  </si>
  <si>
    <t>FOB_DETECTION</t>
  </si>
  <si>
    <t>FOB inside cabin</t>
  </si>
  <si>
    <t>FOB_INSIDE_CABIN</t>
  </si>
  <si>
    <t>FOB outside cabin</t>
  </si>
  <si>
    <t>FOB_OUTSIDE_CABIN</t>
  </si>
  <si>
    <t>OEM remote start START UP</t>
  </si>
  <si>
    <t>OEM_REMOTE_START_START_UP</t>
  </si>
  <si>
    <t>OEM remote start STOP</t>
  </si>
  <si>
    <t>OEM_REMOTE_START_STOP</t>
  </si>
  <si>
    <t>RKE_1 idle</t>
  </si>
  <si>
    <t>RKE_1_IDLE</t>
  </si>
  <si>
    <t>RKE_1 lock</t>
  </si>
  <si>
    <t>RKE_1_LOCK</t>
  </si>
  <si>
    <t>RKE_1 lock hold</t>
  </si>
  <si>
    <t>RKE_1_LOCK_HOLD</t>
  </si>
  <si>
    <t>RKE_1 unlock</t>
  </si>
  <si>
    <t>RKE_1_UNLOCK</t>
  </si>
  <si>
    <t>RKE_1 unlock all</t>
  </si>
  <si>
    <t>RKE_1_UNLOCK_ALL</t>
  </si>
  <si>
    <t>RKE_1 unlock hold</t>
  </si>
  <si>
    <t>RKE_1_UNLOCK_HOLD</t>
  </si>
  <si>
    <t>RKE_1 trunk</t>
  </si>
  <si>
    <t>RKE_1_TRUNK</t>
  </si>
  <si>
    <t>RKE_1 trunk hold</t>
  </si>
  <si>
    <t>RKE_1_TRUNK_HOLD</t>
  </si>
  <si>
    <t>RKE_1 panic</t>
  </si>
  <si>
    <t>RKE_1_PANIC</t>
  </si>
  <si>
    <t>RKE_1 driver slidding door</t>
  </si>
  <si>
    <t>RKE_1_DRIVER_SLIDE_DOOR</t>
  </si>
  <si>
    <t>RKE_1 passeger slidding door</t>
  </si>
  <si>
    <t>RKE_1_PASS_SLIDE_DOOR</t>
  </si>
  <si>
    <t>RKE_1 remote start</t>
  </si>
  <si>
    <t>RKE_1_REMOTE_START</t>
  </si>
  <si>
    <t>RKE_1 pop glass</t>
  </si>
  <si>
    <t>RKE_1_POP_GLASS</t>
  </si>
  <si>
    <t>RKE_2 idle</t>
  </si>
  <si>
    <t>RKE_2_IDLE</t>
  </si>
  <si>
    <t>RKE_2 lock</t>
  </si>
  <si>
    <t>RKE_2_LOCK</t>
  </si>
  <si>
    <t>RKE_2 lock hold</t>
  </si>
  <si>
    <t>RKE_2_LOCK_HOLD</t>
  </si>
  <si>
    <t>RKE_2 unlock all</t>
  </si>
  <si>
    <t>RKE_2_UNLOCK_ALL</t>
  </si>
  <si>
    <t>RKE_2 unlock</t>
  </si>
  <si>
    <t>RKE_2_UNLOCK</t>
  </si>
  <si>
    <t>RKE_2 unlock hold</t>
  </si>
  <si>
    <t>RKE_2_UNLOCK_HOLD</t>
  </si>
  <si>
    <t>RKE_2 trunk</t>
  </si>
  <si>
    <t>RKE_2_TRUNK</t>
  </si>
  <si>
    <t>RKE_2 trunk hold</t>
  </si>
  <si>
    <t>RKE_2_TRUNK_HOLD</t>
  </si>
  <si>
    <t>RKE_2 panic</t>
  </si>
  <si>
    <t>RKE_2_PANIC</t>
  </si>
  <si>
    <t>RKE_2 driver slidding door</t>
  </si>
  <si>
    <t>RKE_2_DRIVER_SLIDE_DOOR</t>
  </si>
  <si>
    <t>RKE_2 passeger slidding door</t>
  </si>
  <si>
    <t>RKE_2_PASS_SLIDE_DOOR</t>
  </si>
  <si>
    <t>RKE_2 remote start</t>
  </si>
  <si>
    <t>RKE_2_REMOTE_START</t>
  </si>
  <si>
    <t>RKE_2 pop glass</t>
  </si>
  <si>
    <t>RKE_2_POP_GLASS</t>
  </si>
  <si>
    <t>DoorLock</t>
  </si>
  <si>
    <t>Door all lock</t>
  </si>
  <si>
    <t>DL_DOOR_ALL_LOCK</t>
  </si>
  <si>
    <t>Door all unlock</t>
  </si>
  <si>
    <t>DL_DOOR_ALL_UNLOCK</t>
  </si>
  <si>
    <t>Door front driver lock</t>
  </si>
  <si>
    <t>DL_DOOR_FD_LOCK</t>
  </si>
  <si>
    <t>Door front driver unlock</t>
  </si>
  <si>
    <t>DL_DOOR_FD_UNLOCK</t>
  </si>
  <si>
    <t>Door front passenger lock</t>
  </si>
  <si>
    <t>DL_DOOR_FP_LOCK</t>
  </si>
  <si>
    <t>Door front passenger unlock</t>
  </si>
  <si>
    <t>DL_DOOR_FP_UNLOCK</t>
  </si>
  <si>
    <t>Door rear passenger lock</t>
  </si>
  <si>
    <t>DL_DOOR_RP_LOCK</t>
  </si>
  <si>
    <t>Door rear passenger unlock</t>
  </si>
  <si>
    <t>DL_DOOR_RP_UNLOCK</t>
  </si>
  <si>
    <t>Door rear driver lock</t>
  </si>
  <si>
    <t>DL_DOOR_RD_LOCK</t>
  </si>
  <si>
    <t>Door rear driver unlock</t>
  </si>
  <si>
    <t>DL_DOOR_RD_UNLOCK</t>
  </si>
  <si>
    <t xml:space="preserve">Handle front driver </t>
  </si>
  <si>
    <t xml:space="preserve">Handle front passenger </t>
  </si>
  <si>
    <t xml:space="preserve">Handle rear passenger </t>
  </si>
  <si>
    <t>DL_HANDLE_RP</t>
  </si>
  <si>
    <t xml:space="preserve">Handle rear driver </t>
  </si>
  <si>
    <t>DL_HANDLE_RD</t>
  </si>
  <si>
    <t xml:space="preserve">handle trunk </t>
  </si>
  <si>
    <t>Handle front driver idle</t>
  </si>
  <si>
    <t>DL_HANDLE_FD_IDLE</t>
  </si>
  <si>
    <t>Handle front driver lock</t>
  </si>
  <si>
    <t>DL_HANDLE_FD_LOCK</t>
  </si>
  <si>
    <t>Handle front driver lock hold</t>
  </si>
  <si>
    <t>DL_HANDLE_FD_LOCK_HOLD</t>
  </si>
  <si>
    <t>Handle front driver unlock</t>
  </si>
  <si>
    <t>DL_HANDLE_FD_UNLOCK</t>
  </si>
  <si>
    <t>Handle front driver unlock hold</t>
  </si>
  <si>
    <t>DL_HANDLE_FD_UNLOCK_HOLD</t>
  </si>
  <si>
    <t>Handle front passenger idle</t>
  </si>
  <si>
    <t>DL_HANDLE_FP_IDLE</t>
  </si>
  <si>
    <t>Handle front passenger lock</t>
  </si>
  <si>
    <t>DL_HANDLE_FP_LOCK</t>
  </si>
  <si>
    <t>Handle front passenger lock hold</t>
  </si>
  <si>
    <t>DL_HANDLE_FP_LOCK_HOLD</t>
  </si>
  <si>
    <t>Handle front passenger unlock</t>
  </si>
  <si>
    <t>DL_HANDLE_FP_UNLOCK</t>
  </si>
  <si>
    <t>Handle rear passenger idle</t>
  </si>
  <si>
    <t>DL_HANDLE_RP_IDLE</t>
  </si>
  <si>
    <t>Handle rear passenger lock</t>
  </si>
  <si>
    <t>DL_HANDLE_RP_LOCK</t>
  </si>
  <si>
    <t>Handle rear passenger unlock</t>
  </si>
  <si>
    <t>DL_HANDLE_RP_UNLOCK</t>
  </si>
  <si>
    <t>Handle rear driver idle</t>
  </si>
  <si>
    <t>DL_HANDLE_RD_IDLE</t>
  </si>
  <si>
    <t>Handle rear driver lock</t>
  </si>
  <si>
    <t>DL_HANDLE_RD_LOCK</t>
  </si>
  <si>
    <t>Handle rear driver unlock</t>
  </si>
  <si>
    <t>DL_HANDLE_RD_UNLOCK</t>
  </si>
  <si>
    <t>handle trunk  idle</t>
  </si>
  <si>
    <t>DL_HANDLE_TRUNK_IDLE</t>
  </si>
  <si>
    <t>handle trunk  lock</t>
  </si>
  <si>
    <t>DL_HANDLE_TRUNK_LOCK</t>
  </si>
  <si>
    <t>handle trunk unlock</t>
  </si>
  <si>
    <t>DL_HANDLE_TRUNK_UNLOCK</t>
  </si>
  <si>
    <t>handle trunk button close</t>
  </si>
  <si>
    <t>DL_HANDLE_TRUNK_BUTTON_CLOSE</t>
  </si>
  <si>
    <t>handle trunk button open</t>
  </si>
  <si>
    <t>DL_HANDLE_TRUNK_BUTTON_OPEN</t>
  </si>
  <si>
    <t>Trunk lock</t>
  </si>
  <si>
    <t>DL_TRUNK_LOCK</t>
  </si>
  <si>
    <t>Trunk unlock</t>
  </si>
  <si>
    <t>DL_TRUNK_UNLOCK</t>
  </si>
  <si>
    <t>gas cap lock</t>
  </si>
  <si>
    <t>gas cap unlock</t>
  </si>
  <si>
    <t>DL_GAS_CAP_UNLOCK</t>
  </si>
  <si>
    <t>Auto relock delayed</t>
  </si>
  <si>
    <t>DL_AUTO_RELOCK_DELAYED</t>
  </si>
  <si>
    <t>Auto relock speed</t>
  </si>
  <si>
    <t>DL_AUTO_RELOCK_SPEED</t>
  </si>
  <si>
    <t>Auto relock geared</t>
  </si>
  <si>
    <t>DL_AUTO_RELOCK_GEARED</t>
  </si>
  <si>
    <t>central lock idle</t>
  </si>
  <si>
    <t>DL_CENTRAL_IDLE</t>
  </si>
  <si>
    <t>Central lock front driver lock</t>
  </si>
  <si>
    <t>DL_CENTRAL_FD_LOCK</t>
  </si>
  <si>
    <t>Central lock front driver unlock</t>
  </si>
  <si>
    <t>DL_CENTRAL_FD_UNLOCK</t>
  </si>
  <si>
    <t>Central lock front passenger lock</t>
  </si>
  <si>
    <t>DL_CENTRAL_FP_LOCK</t>
  </si>
  <si>
    <t>Central lock front passenger unlock</t>
  </si>
  <si>
    <t>DL_CENTRAL_FP_UNLOCK</t>
  </si>
  <si>
    <t>Key pad idle</t>
  </si>
  <si>
    <t>Keypad lock</t>
  </si>
  <si>
    <t>Keypad unlock</t>
  </si>
  <si>
    <t>Key pad button press detection ??? (I.E:1234..)</t>
  </si>
  <si>
    <t>DL_KEYPAD_BUTTON</t>
  </si>
  <si>
    <t>Keypad trunk</t>
  </si>
  <si>
    <t>Barrel driver key in</t>
  </si>
  <si>
    <t>Barrel driver key out</t>
  </si>
  <si>
    <t>DL_BARREL_DRIVER_KEY_OUT</t>
  </si>
  <si>
    <t>Barrel driver lock</t>
  </si>
  <si>
    <t>DL_BARREL_DRIVER_LOCK</t>
  </si>
  <si>
    <t>Barrel driver lock hold</t>
  </si>
  <si>
    <t>DL_BARREL_DRIVER_LOCK_HOLD</t>
  </si>
  <si>
    <t>Barrel driver unlock</t>
  </si>
  <si>
    <t>DL_BARREL_DRIVER_UNLOCK</t>
  </si>
  <si>
    <t>Barrel driver unlock hold</t>
  </si>
  <si>
    <t>DL_BARREL_DRIVER_UNLOCK_HOLD</t>
  </si>
  <si>
    <t>Barrel passenger key in</t>
  </si>
  <si>
    <t>DL_BARREL_PASS_KEY_IN</t>
  </si>
  <si>
    <t>Barrel passenger key out</t>
  </si>
  <si>
    <t>DL_BARREL_PASS_KEY_OUT</t>
  </si>
  <si>
    <t>Barrel passenger lock</t>
  </si>
  <si>
    <t>DL_BARREL_PASS_LOCK</t>
  </si>
  <si>
    <t>Barrel passenger lock hold</t>
  </si>
  <si>
    <t>DL_BARREL_PASS_LOCK_HOLD</t>
  </si>
  <si>
    <t>Barrel passenger unlock</t>
  </si>
  <si>
    <t>DL_BARREL_PASS_UNLOCK</t>
  </si>
  <si>
    <t>Barrel passenger unlock hold</t>
  </si>
  <si>
    <t>DL_BARREL_PASS_UNLOCK_HOLD</t>
  </si>
  <si>
    <t>sterring actuator unlock Z+D142</t>
  </si>
  <si>
    <t>DL_HANDLE_FP_UNLOCK_HOLD</t>
  </si>
  <si>
    <t>handle pop glass  idle</t>
  </si>
  <si>
    <t>DL_HANDLE_POP_GLASS_IDLE</t>
  </si>
  <si>
    <t>handle pop glass  lock</t>
  </si>
  <si>
    <t>DL_HANDLE_POP_GLASS_LOCK</t>
  </si>
  <si>
    <t>handle pop glass unlock</t>
  </si>
  <si>
    <t>DL_HANDLE_POP_GLASS_UNLOCK</t>
  </si>
  <si>
    <t>folding mirror close</t>
  </si>
  <si>
    <t>DL_FOLD_MIRROR_CLOSE</t>
  </si>
  <si>
    <t>folding mirror open</t>
  </si>
  <si>
    <t>Glove compartment lock</t>
  </si>
  <si>
    <t>Glove compartment unlock</t>
  </si>
  <si>
    <t>DL_GLOVE_COMP_UNLOCK</t>
  </si>
  <si>
    <t>Security</t>
  </si>
  <si>
    <t>Alarm disarm</t>
  </si>
  <si>
    <t>Alarm disarm temp</t>
  </si>
  <si>
    <t>SEC_ALARM_DISARM_TEMP</t>
  </si>
  <si>
    <t>Alarm arming</t>
  </si>
  <si>
    <t>alarm armed</t>
  </si>
  <si>
    <t>alarm triggered</t>
  </si>
  <si>
    <t>security light on</t>
  </si>
  <si>
    <t>security light off</t>
  </si>
  <si>
    <t>SEC_LIGHT_OFF</t>
  </si>
  <si>
    <t>Brake switch off</t>
  </si>
  <si>
    <t>SAF_BRAKE_SWITCH_OFF</t>
  </si>
  <si>
    <t>Brake switch on</t>
  </si>
  <si>
    <t>Emergency brake off</t>
  </si>
  <si>
    <t>SAF_EMERGENCY_BRAKE_OFF</t>
  </si>
  <si>
    <t>Emergency brake on</t>
  </si>
  <si>
    <t>Alarm light on</t>
  </si>
  <si>
    <t>Alarm light off</t>
  </si>
  <si>
    <t>SEC_ALARM_LIGHT_OFF</t>
  </si>
  <si>
    <t>Alarm equiped</t>
  </si>
  <si>
    <t>SEC_ALARM_EQUIPED</t>
  </si>
  <si>
    <t>alarm shunt</t>
  </si>
  <si>
    <t>SEC_ALARM_SHUNT</t>
  </si>
  <si>
    <t>Occupancy front driver</t>
  </si>
  <si>
    <t>SEC_OCCUPANCY_FD</t>
  </si>
  <si>
    <t>Occupancy front passenger</t>
  </si>
  <si>
    <t>SEC_OCCUPANCY_FP</t>
  </si>
  <si>
    <t>Occupancy rear passenger</t>
  </si>
  <si>
    <t>SEC_OCCUPANCY_RP</t>
  </si>
  <si>
    <t>Occupancy rear driver</t>
  </si>
  <si>
    <t>SEC_OCCUPANCY_RD</t>
  </si>
  <si>
    <t>Auto relock ignition switch</t>
  </si>
  <si>
    <t>SEC_AUTO_RELOCK_IGN_SW</t>
  </si>
  <si>
    <t>OEM shock sensor</t>
  </si>
  <si>
    <t>SEC_OEM_SHOCK_SENSOR</t>
  </si>
  <si>
    <t>Bypass Challenge</t>
  </si>
  <si>
    <t>SEC_BYPASS_CHALLENGE</t>
  </si>
  <si>
    <t>Bypass Response</t>
  </si>
  <si>
    <t>SEC_BYPASS_RESPONSE</t>
  </si>
  <si>
    <t>Bypass accepted</t>
  </si>
  <si>
    <t>SEC_BYPASS_ACCEPTED</t>
  </si>
  <si>
    <t>Bypass rejected</t>
  </si>
  <si>
    <t>SEC_BYPASS_REJECTED</t>
  </si>
  <si>
    <t xml:space="preserve">sterring actuator lock </t>
  </si>
  <si>
    <t>SEC_STEER_LOCK</t>
  </si>
  <si>
    <t xml:space="preserve">sterring actuator unlock </t>
  </si>
  <si>
    <t>SEC_STEER_UNLOCK</t>
  </si>
  <si>
    <t>Instrument cluster</t>
  </si>
  <si>
    <t>0x14</t>
  </si>
  <si>
    <t>Ignition switch key out</t>
  </si>
  <si>
    <t>IGN_SW_KEY_OUT</t>
  </si>
  <si>
    <t>Ignition switch key in</t>
  </si>
  <si>
    <t>Ignition switch acc</t>
  </si>
  <si>
    <t>IGN_SW_ACC</t>
  </si>
  <si>
    <t>Ignition switch ign</t>
  </si>
  <si>
    <t>Ignition switch start</t>
  </si>
  <si>
    <t>Ready light (hybrid mode)</t>
  </si>
  <si>
    <t>IGN_READY_LIGHT</t>
  </si>
  <si>
    <t>Odometre</t>
  </si>
  <si>
    <t>CLUS_ODO</t>
  </si>
  <si>
    <t>RPM</t>
  </si>
  <si>
    <t>CLUS_RPM</t>
  </si>
  <si>
    <t>FOB location front driver</t>
  </si>
  <si>
    <t>FOB_LOC_FD</t>
  </si>
  <si>
    <t>FOB location front passenger</t>
  </si>
  <si>
    <t>FOB_LOC_FP</t>
  </si>
  <si>
    <t>FOB location rear passenger</t>
  </si>
  <si>
    <t>FOB_LOC_RP</t>
  </si>
  <si>
    <t>FOB location rear driver</t>
  </si>
  <si>
    <t>FOB_LOC_RD</t>
  </si>
  <si>
    <t>FOB location trunk</t>
  </si>
  <si>
    <t>FOB_LOC_TRUNK</t>
  </si>
  <si>
    <t>OEM remote start</t>
  </si>
  <si>
    <t>OEM remote start Lock</t>
  </si>
  <si>
    <t>OEM_REMOTE_START_LOCK</t>
  </si>
  <si>
    <t>OEM remote start unlock</t>
  </si>
  <si>
    <t>OEM_REMOTE_START_UNLOCK</t>
  </si>
  <si>
    <t>OEM remote start trunk</t>
  </si>
  <si>
    <t>OEM_REMOTE_START_TRUNK</t>
  </si>
  <si>
    <t>OEM remote start parking light</t>
  </si>
  <si>
    <t>OEM_REMOTE_START_PARK_LIGHTS</t>
  </si>
  <si>
    <t>OEM remote start detection</t>
  </si>
  <si>
    <t>OEM_REMOTE_START_DETECTION</t>
  </si>
  <si>
    <t>OEM remote start enable</t>
  </si>
  <si>
    <t>OEM_REMOTE_START_ENABLE</t>
  </si>
  <si>
    <t>OEM remote start disable</t>
  </si>
  <si>
    <t>OEM_REMOTE_START_DISABLE</t>
  </si>
  <si>
    <t>OEM remote start runtime</t>
  </si>
  <si>
    <t>OEM_REMOTE_START_RUNTIME</t>
  </si>
  <si>
    <t xml:space="preserve">OEM remote start climate control </t>
  </si>
  <si>
    <t>OEM_REMOTE_START_CLIMATE_CONTROL</t>
  </si>
  <si>
    <t>OEM remote start heated seat</t>
  </si>
  <si>
    <t>OEM_REMOTE_START_HEAT_SEAT</t>
  </si>
  <si>
    <t>OEM remote start cooling seat</t>
  </si>
  <si>
    <t>OEM_REMOTE_START_COOL_SEAT</t>
  </si>
  <si>
    <t>OEM remote start running status</t>
  </si>
  <si>
    <t>OEM_REMOTE_START_RUN_STATUS</t>
  </si>
  <si>
    <t>OEM remote start front defrost</t>
  </si>
  <si>
    <t>OEM_REMOTE_START_FRONT_DEFROST</t>
  </si>
  <si>
    <t>OEM remote start rear defrost</t>
  </si>
  <si>
    <t>OEM_REMOTE_START_REAR_DEFROST</t>
  </si>
  <si>
    <t>lighting</t>
  </si>
  <si>
    <t>light sensor</t>
  </si>
  <si>
    <t>LIGHT_SENSOR</t>
  </si>
  <si>
    <t>External lights off</t>
  </si>
  <si>
    <t>EXTERNAL_LIGHT_OFF</t>
  </si>
  <si>
    <t>External lights parking</t>
  </si>
  <si>
    <t>External lights low beam</t>
  </si>
  <si>
    <t>External lights high beam</t>
  </si>
  <si>
    <t>External lights front fog</t>
  </si>
  <si>
    <t>EXTERNAL_LIGHT_FRONT_FOG</t>
  </si>
  <si>
    <t>External lights rear fog</t>
  </si>
  <si>
    <t>EXTERNAL_LIGTH_REAR_FOG</t>
  </si>
  <si>
    <t>External lights left flasher</t>
  </si>
  <si>
    <t>EXTERNAL_LIGHT_LEFT_FLASHER</t>
  </si>
  <si>
    <t>External lights right flasher</t>
  </si>
  <si>
    <t>EXTERNAL_LIGHT_RIGHT_FLASHER</t>
  </si>
  <si>
    <t>External lights hazard</t>
  </si>
  <si>
    <t>Dome light front off</t>
  </si>
  <si>
    <t>LIGHT_DOME_LIGHT_FRONT_ON</t>
  </si>
  <si>
    <t>Dome light front on</t>
  </si>
  <si>
    <t>LIGHT_DOME_LIGHT_FRONT_OFF</t>
  </si>
  <si>
    <t>Dome light front switch on</t>
  </si>
  <si>
    <t>LIGHT_DOME_LIGHT_FRONT_SW_ON</t>
  </si>
  <si>
    <t>Dome light front switch off</t>
  </si>
  <si>
    <t>LIGHT_DOME_LIGHT_FRONT_SW_OFF</t>
  </si>
  <si>
    <t>Dome light front switch  door</t>
  </si>
  <si>
    <t>LIGHT_DOME_LIGHT_FRONT_SWITCH_DOOR</t>
  </si>
  <si>
    <t>Dome light rear off</t>
  </si>
  <si>
    <t>LIGHT_DOME_LIGHT_REAR_OFF</t>
  </si>
  <si>
    <t>Dome light rear on</t>
  </si>
  <si>
    <t>LIGHT_DOME_LIGHT_REAR_ON</t>
  </si>
  <si>
    <t>Dome light rear switch  on</t>
  </si>
  <si>
    <t>LIGHT_DOME_LIGHT_REAR_SW_ON</t>
  </si>
  <si>
    <t>Dome light rear switch  off</t>
  </si>
  <si>
    <t>LIGHT_DOME_LIGHT_REAR_SW_OFF</t>
  </si>
  <si>
    <t>Dome light rear switch door</t>
  </si>
  <si>
    <t>LIGHT_DOME_LIGHT_REAR_SW_DOOR</t>
  </si>
  <si>
    <t>Dome light trunk off</t>
  </si>
  <si>
    <t>LIGHT_DOME_LIGHT_TRUNK_OFF</t>
  </si>
  <si>
    <t>Dome light trunk on</t>
  </si>
  <si>
    <t>LIGHT_DOME_LIGHT_TRUNK_ON</t>
  </si>
  <si>
    <t>Dome light trunk switch on</t>
  </si>
  <si>
    <t>LIGHT_DOME_LIGHT_TRUNK_SW_ON</t>
  </si>
  <si>
    <t>Dome light trunk switch  off</t>
  </si>
  <si>
    <t>LIGHT_DOME_LIGHT_TRUNK_SW_OFF</t>
  </si>
  <si>
    <t>Dome light trunk switch  door</t>
  </si>
  <si>
    <t>LIGHT_DOME_LIGHT_TRUNK_SW_DOOR</t>
  </si>
  <si>
    <t>reading light front driver on</t>
  </si>
  <si>
    <t>LIGHT_READ_LIGHT_FD_ON</t>
  </si>
  <si>
    <t>reading light front driver off</t>
  </si>
  <si>
    <t>LIGHT_READ_LIGHT_FD_OFF</t>
  </si>
  <si>
    <t>reading light front passenger on</t>
  </si>
  <si>
    <t>LIGHT_READ_LIGHT_FP_ON</t>
  </si>
  <si>
    <t>reading light front passenger off</t>
  </si>
  <si>
    <t>LIGHT_READ_LIGHT_FP_OFF</t>
  </si>
  <si>
    <t>reading light rear passenger on</t>
  </si>
  <si>
    <t>LIGHT_READ_LIGHT_RP_ON</t>
  </si>
  <si>
    <t>reading light rear passenger off</t>
  </si>
  <si>
    <t>LIGHT_READ_LIGHT_RP_OFF</t>
  </si>
  <si>
    <t>reading light rear driver on</t>
  </si>
  <si>
    <t>LIGHT_READ_LIGHT_RD_ON</t>
  </si>
  <si>
    <t>reading light rear driver off</t>
  </si>
  <si>
    <t>LIGHT_READ_LIGHT_RD_OFF</t>
  </si>
  <si>
    <t>Transaxle</t>
  </si>
  <si>
    <t>0x11</t>
  </si>
  <si>
    <t>Gear selector PARK</t>
  </si>
  <si>
    <t>TRAN_GEAR_SEL_PARK</t>
  </si>
  <si>
    <t>Gear selector NEUTRAL</t>
  </si>
  <si>
    <t>TRAN_GEAR_SEL_NEUTRAL</t>
  </si>
  <si>
    <t>Gear selector DRIVE</t>
  </si>
  <si>
    <t>TRAN_GEAR_SEL_DRIVE</t>
  </si>
  <si>
    <t>Gear selector REVERSE</t>
  </si>
  <si>
    <t>TRAN_GEAR_SEL_REVERSE</t>
  </si>
  <si>
    <t>Gear selector manual mode (tiptronic)</t>
  </si>
  <si>
    <t>TRAN_GEAR_SEL_MANUAL_MODE</t>
  </si>
  <si>
    <t>Gear selector 1</t>
  </si>
  <si>
    <t>TRAN_GEAR_SEL_1</t>
  </si>
  <si>
    <t>Gear selector 2</t>
  </si>
  <si>
    <t>TRAN_GEAR_SEL_2</t>
  </si>
  <si>
    <t>Gear selector 3</t>
  </si>
  <si>
    <t>TRAN_GEAR_SEL_3</t>
  </si>
  <si>
    <t>Gear selector 4</t>
  </si>
  <si>
    <t>TRAN_GEAR_SEL_4</t>
  </si>
  <si>
    <t>Gear selector 5</t>
  </si>
  <si>
    <t>TRAN_GEAR_SEL_5</t>
  </si>
  <si>
    <t>Gear selector 6</t>
  </si>
  <si>
    <t>TRAN_GEAR_SEL_6</t>
  </si>
  <si>
    <t>Gear selector 7</t>
  </si>
  <si>
    <t>TRAN_GEAR_SEL_7</t>
  </si>
  <si>
    <t xml:space="preserve">Gear selector low </t>
  </si>
  <si>
    <t>TRAN_GEAR_SEL_OVERDRIVE</t>
  </si>
  <si>
    <t>Gear selector overdrive</t>
  </si>
  <si>
    <t>TRAN_GEAR_SEL_LOW</t>
  </si>
  <si>
    <t>gear selector all wheel drive (4x4)</t>
  </si>
  <si>
    <t>TRAN_GEAR_SEL_4X4</t>
  </si>
  <si>
    <t>gear selector all wheel drive (2x4 HI)</t>
  </si>
  <si>
    <t>TRAN_GEAR_SEL_2X4_HI</t>
  </si>
  <si>
    <t>gear selector all wheel drive (2x4 LO)</t>
  </si>
  <si>
    <t>TRAN_GEAR_SEL_2X4_LO</t>
  </si>
  <si>
    <t>towing mode on</t>
  </si>
  <si>
    <t>TRAN_TOWING_MODE_ON</t>
  </si>
  <si>
    <t>towing mode off</t>
  </si>
  <si>
    <t>TRAN_TOWING_MODE_OFF</t>
  </si>
  <si>
    <t>driving mode 1 (normal)</t>
  </si>
  <si>
    <t>TRAN_DRIVE_MODE_1</t>
  </si>
  <si>
    <t>driving mode 2 (economy)</t>
  </si>
  <si>
    <t>TRAN_DRIVE_MODE_2</t>
  </si>
  <si>
    <t>driving mode 3 (sport)</t>
  </si>
  <si>
    <t>TRAN_DRIVE_MODE_3</t>
  </si>
  <si>
    <t>Clutch switch off</t>
  </si>
  <si>
    <t>TRAN_CLUTCH_SW_ON</t>
  </si>
  <si>
    <t>Clutch switch on</t>
  </si>
  <si>
    <t>TRAN_CLUTCH_SW_OFF</t>
  </si>
  <si>
    <t>Cruise control on</t>
  </si>
  <si>
    <t>TRAN_CRUISE_CONT_ON</t>
  </si>
  <si>
    <t>Cruise control off</t>
  </si>
  <si>
    <t>TRAN_CRUISE_CONT_OFF</t>
  </si>
  <si>
    <t>Cruise control set</t>
  </si>
  <si>
    <t>TRAN_CRUISE_CONT_SET</t>
  </si>
  <si>
    <t>Cruise control cancel</t>
  </si>
  <si>
    <t>TRAN_CRUISE_CONT_CANCEL</t>
  </si>
  <si>
    <t>Cruise control resume</t>
  </si>
  <si>
    <t>TRAN_CRUISE_CONT_RESUME</t>
  </si>
  <si>
    <t>Cruise control speed up ( accelerate)</t>
  </si>
  <si>
    <t>TRAN_CRUISE_CONT_SPEED_UP</t>
  </si>
  <si>
    <t>Cruise control speed down (de-accelerate)</t>
  </si>
  <si>
    <t>TRAN_CRUISE_CONT_SPEED_DOWN</t>
  </si>
  <si>
    <t xml:space="preserve">comfort </t>
  </si>
  <si>
    <t>0x12</t>
  </si>
  <si>
    <t>heated steering wheel off</t>
  </si>
  <si>
    <t>COMF_HEAT_STEER_WHEEL_ON</t>
  </si>
  <si>
    <t>heated steering wheel on</t>
  </si>
  <si>
    <t>COMF_HEAT_STEER_WHEEL_OFF</t>
  </si>
  <si>
    <t>mirror defrost</t>
  </si>
  <si>
    <t>COMF_MIRROR_DEFROST</t>
  </si>
  <si>
    <t>rear defrost</t>
  </si>
  <si>
    <t>COMF_REAR_DEFROST</t>
  </si>
  <si>
    <t>cabin air temperature front driver</t>
  </si>
  <si>
    <t>COMF_CABIN_AIR_TEMP_FD</t>
  </si>
  <si>
    <t>cabin air temperature front passenger</t>
  </si>
  <si>
    <t>COMF_CABIN_AIR_TEMP_FP</t>
  </si>
  <si>
    <t>cabin air temperature rear driver</t>
  </si>
  <si>
    <t>COMF_CABIN_AIR_TEMP_RD</t>
  </si>
  <si>
    <t>cabin air temperature rear passenger</t>
  </si>
  <si>
    <t>COMF_CABIN_AIR_TEMP_RP</t>
  </si>
  <si>
    <t>climate control remp setting front driver</t>
  </si>
  <si>
    <t>COMF_CLIMATE_CONT_REMP_SET_FD</t>
  </si>
  <si>
    <t>climate control remp setting front passenger</t>
  </si>
  <si>
    <t>COMF_CLIMATE_CONT_REMP_SET_FP</t>
  </si>
  <si>
    <t>climate control remp setting rear passenger</t>
  </si>
  <si>
    <t>COMF_CLIMATE_CONT_REMP_SET_RP</t>
  </si>
  <si>
    <t>climate control remp setting rear driver</t>
  </si>
  <si>
    <t>COMF_CLIMATE_CONT_REMP_SET_RD</t>
  </si>
  <si>
    <t>climate AC on</t>
  </si>
  <si>
    <t>COMF_CLIMATE_AC_ON</t>
  </si>
  <si>
    <t>climate AC off</t>
  </si>
  <si>
    <t>COMF_CLIMATE_AC_OFF</t>
  </si>
  <si>
    <t>climate Auto on</t>
  </si>
  <si>
    <t>COMF_CLIMATE_AUTO_ON</t>
  </si>
  <si>
    <t>climate Auto off</t>
  </si>
  <si>
    <t>COMF_CLIMATE_AUTO_OFF</t>
  </si>
  <si>
    <t>climate ventilation front fan  off</t>
  </si>
  <si>
    <t>COMF_CLIMATE_VENT_FRONT_FAN_OFF</t>
  </si>
  <si>
    <t>climate ventilation front fan lo</t>
  </si>
  <si>
    <t>COMF_CLIMATE_VENT_FRONT_FAN_LO</t>
  </si>
  <si>
    <t>climate ventilation front fan med</t>
  </si>
  <si>
    <t>COMF_CLIMATE_VENT_FRONT_FAN_MED</t>
  </si>
  <si>
    <t>climate ventilation front fan  hi</t>
  </si>
  <si>
    <t>COMF_CLIMATE_VENT_FRONT_FAN_HI</t>
  </si>
  <si>
    <t>climate ventilation rear fan  off</t>
  </si>
  <si>
    <t>COMF_CLIMATE_VENT_REAR_FAN_OFF</t>
  </si>
  <si>
    <t>climate ventilation rear fan lo</t>
  </si>
  <si>
    <t>COMF_CLIMATE_VENT_REAR_FAN_LO</t>
  </si>
  <si>
    <t>climate ventilation rear fan med</t>
  </si>
  <si>
    <t>COMF_CLIMATE_VENT_REAR_FAN_MED</t>
  </si>
  <si>
    <t>climate ventilation rear fan  hi</t>
  </si>
  <si>
    <t>COMF_CLIMATE_VENT_REAR_FAN_HI</t>
  </si>
  <si>
    <t>Heated seat front driver hi</t>
  </si>
  <si>
    <t>COMF_HEAT_SEAT_FD_HI</t>
  </si>
  <si>
    <t>Heated seat front driver med</t>
  </si>
  <si>
    <t>COMF_HEAT_SEAT_FD_MED</t>
  </si>
  <si>
    <t>Heated seat front driver lo</t>
  </si>
  <si>
    <t>COMF_HEAT_SEAT_FD_LO</t>
  </si>
  <si>
    <t>Heated seat front driver off</t>
  </si>
  <si>
    <t>COMF_HEAT_SEAT_FD_OFF</t>
  </si>
  <si>
    <t>Heated seat front passenger hi</t>
  </si>
  <si>
    <t>COMF_HEAT_SEAT_FP_HI</t>
  </si>
  <si>
    <t>Heated seat front passenger med</t>
  </si>
  <si>
    <t>COMF_HEAT_SEAT_FP_MED</t>
  </si>
  <si>
    <t>Heated seat front passenger lo</t>
  </si>
  <si>
    <t>COMF_HEAT_SEAT_FP_LO</t>
  </si>
  <si>
    <t>Heated seat front passenger off</t>
  </si>
  <si>
    <t>COMF_HEAT_SEAT_FP_OFF</t>
  </si>
  <si>
    <t>Heated seat rear passenger hi</t>
  </si>
  <si>
    <t>COMF_HEAT_SEAT_RP_HI</t>
  </si>
  <si>
    <t>Heated seat rear passenger med</t>
  </si>
  <si>
    <t>COMF_HEAT_SEAT_RP_MED</t>
  </si>
  <si>
    <t>Heated seat rear passenger lo</t>
  </si>
  <si>
    <t>COMF_HEAT_SEAT_RP_LO</t>
  </si>
  <si>
    <t>Heated seat rear passenger off</t>
  </si>
  <si>
    <t>COMF_HEAT_SEAT_RP_OFF</t>
  </si>
  <si>
    <t>Heated seat rear driver hi</t>
  </si>
  <si>
    <t>COMF_HEAT_SEAT_RD_HI</t>
  </si>
  <si>
    <t>Heated seat rear driver med</t>
  </si>
  <si>
    <t>COMF_HEAT_SEAT_RD_MED</t>
  </si>
  <si>
    <t>Heated seat rear driver lo</t>
  </si>
  <si>
    <t>COMF_HEAT_SEAT_RD_LO</t>
  </si>
  <si>
    <t>Heated seat rear driver off</t>
  </si>
  <si>
    <t>COMF_HEAT_SEAT_RD_OFF</t>
  </si>
  <si>
    <t>Cooling seat front driver hi</t>
  </si>
  <si>
    <t>COMF_COOL_SEAT_FD_HI</t>
  </si>
  <si>
    <t>Cooling seat front driver med</t>
  </si>
  <si>
    <t>COMF_COOL_SEAT_FD_MED</t>
  </si>
  <si>
    <t>Cooling seat front driver lo</t>
  </si>
  <si>
    <t>COMF_COOL_SEAT_FD_LO</t>
  </si>
  <si>
    <t>Cooling seat front driver off</t>
  </si>
  <si>
    <t>COMF_COOL_SEAT_FD_OFF</t>
  </si>
  <si>
    <t>Cooling seat front passenger hi</t>
  </si>
  <si>
    <t>COMF_COOL_SEAT_FP_HI</t>
  </si>
  <si>
    <t>Cooling seat front passenger med</t>
  </si>
  <si>
    <t>COMF_COOL_SEAT_FP_MED</t>
  </si>
  <si>
    <t>Cooling seat front passenger lo</t>
  </si>
  <si>
    <t>COMF_COOL_SEAT_FP_LO</t>
  </si>
  <si>
    <t>Cooling seat front passenger off</t>
  </si>
  <si>
    <t>COMF_COOL_SEAT_FP_OFF</t>
  </si>
  <si>
    <t>Cooling seat rear passenger hi</t>
  </si>
  <si>
    <t>COMF_COOL_SEAT_RP_HI</t>
  </si>
  <si>
    <t>Cooling seat rear passenger med</t>
  </si>
  <si>
    <t>COMF_COOL_SEAT_RP_MED</t>
  </si>
  <si>
    <t>Cooling seat rear passenger lo</t>
  </si>
  <si>
    <t>COMF_COOL_SEAT_RP_LO</t>
  </si>
  <si>
    <t>Cooling seat rear passenger off</t>
  </si>
  <si>
    <t>COMF_COOL_SEAT_RP_OFF</t>
  </si>
  <si>
    <t>Cooling seat rear driver hi</t>
  </si>
  <si>
    <t>COMF_COOL_SEAT_RD_HI</t>
  </si>
  <si>
    <t>Cooling seat rear driver med</t>
  </si>
  <si>
    <t>COMF_COOL_SEAT_RD_MED</t>
  </si>
  <si>
    <t>Cooling seat rear driver lo</t>
  </si>
  <si>
    <t>COMF_COOL_SEAT_RD_LO</t>
  </si>
  <si>
    <t>Cooling seat rear driver off</t>
  </si>
  <si>
    <t>COMF_COOL_SEAT_RD_OFF</t>
  </si>
  <si>
    <t>rain sensor on</t>
  </si>
  <si>
    <t>COMF_RAIN_SENSOR_ON</t>
  </si>
  <si>
    <t>rain sensor off</t>
  </si>
  <si>
    <t>COMF_RAIN_SENSOR_OFF</t>
  </si>
  <si>
    <t xml:space="preserve">Driver 1 setting </t>
  </si>
  <si>
    <t>COMF_DRIVER_1_SET</t>
  </si>
  <si>
    <t xml:space="preserve">Driver 2 setting </t>
  </si>
  <si>
    <t>COMF_DRIVER_2_SET</t>
  </si>
  <si>
    <t xml:space="preserve">Driver 3 setting </t>
  </si>
  <si>
    <t>COMF_DRIVER_3_SET</t>
  </si>
  <si>
    <t xml:space="preserve">Driver 4 setting </t>
  </si>
  <si>
    <t>COMF_DRIVER_4_SET</t>
  </si>
  <si>
    <t>Wiper front on</t>
  </si>
  <si>
    <t>COMF_WIPER_FRONT_ON</t>
  </si>
  <si>
    <t>Wiper front off</t>
  </si>
  <si>
    <t>COMF_WIPER_FRONT_OFF</t>
  </si>
  <si>
    <t>wiper auto</t>
  </si>
  <si>
    <t>COMF_WIPER_AUTO</t>
  </si>
  <si>
    <t>wiper speed 1</t>
  </si>
  <si>
    <t>COMF_WIPER_SPEED_1</t>
  </si>
  <si>
    <t>Wiper speed 2</t>
  </si>
  <si>
    <t>COMF_WIPER_SPEED_2</t>
  </si>
  <si>
    <t>Wiper speed 3</t>
  </si>
  <si>
    <t>COMF_WIPER_SPEED_3</t>
  </si>
  <si>
    <t>Wiper speed 4</t>
  </si>
  <si>
    <t>COMF_WIPER_SPEED_4</t>
  </si>
  <si>
    <t>wiper temp</t>
  </si>
  <si>
    <t>COMF_WIPER_TEMP</t>
  </si>
  <si>
    <t>Wiper rear on</t>
  </si>
  <si>
    <t>COMF_WIPER_REAR_ON</t>
  </si>
  <si>
    <t>Wiper rear off</t>
  </si>
  <si>
    <t>COMF_WIPER_REAR_OFF</t>
  </si>
  <si>
    <t>Safety</t>
  </si>
  <si>
    <t>0x0E</t>
  </si>
  <si>
    <t>TPMS front driver</t>
  </si>
  <si>
    <t>SAF_TPMS_FD</t>
  </si>
  <si>
    <t>TPMS front passenger</t>
  </si>
  <si>
    <t>SAF_TPMS_FP</t>
  </si>
  <si>
    <t>TPMS rear passenger</t>
  </si>
  <si>
    <t>SAF_TPMS_RP</t>
  </si>
  <si>
    <t>TPMS rear driver</t>
  </si>
  <si>
    <t>SAF_TPMS_RD</t>
  </si>
  <si>
    <t>TPMS light on</t>
  </si>
  <si>
    <t>SAF_TPMS_LIGHT_ON</t>
  </si>
  <si>
    <t>TPMS light off</t>
  </si>
  <si>
    <t>SAF_TPMS_LIGHT_OFF</t>
  </si>
  <si>
    <t>OIL pressure light on</t>
  </si>
  <si>
    <t>SAF_OIL_PRESSURE_LIGHT_ON</t>
  </si>
  <si>
    <t>OIL pressure light off</t>
  </si>
  <si>
    <t>SAF_OIL_PRESSURE_LIGHT_OFF</t>
  </si>
  <si>
    <t>DTC ON</t>
  </si>
  <si>
    <t>SAF_DTC_ON</t>
  </si>
  <si>
    <t>ABS on</t>
  </si>
  <si>
    <t>SAF_ABS_ON</t>
  </si>
  <si>
    <t>ABS off</t>
  </si>
  <si>
    <t>SAF_ABS_OFF</t>
  </si>
  <si>
    <t>Traction control on</t>
  </si>
  <si>
    <t>SAF_TRACTION_CONTROL_ON</t>
  </si>
  <si>
    <t>Traction control off</t>
  </si>
  <si>
    <t>SAF_TRACTION_CONTROL_OFF</t>
  </si>
  <si>
    <t>Active cruise control on</t>
  </si>
  <si>
    <t>SAF_ACTIVE_CRUISE_CONT_ON</t>
  </si>
  <si>
    <t>Active cruise control off</t>
  </si>
  <si>
    <t>SAF_ACTIVE_CRUISE_CONT_OFF</t>
  </si>
  <si>
    <t>Active cruise control front detection</t>
  </si>
  <si>
    <t>SAF_ACTIVE_CRUISE_CONT_FRONT_DETEC</t>
  </si>
  <si>
    <t>Line detection on</t>
  </si>
  <si>
    <t>SAF_LINE_DETEC_ON</t>
  </si>
  <si>
    <t>Line detection off</t>
  </si>
  <si>
    <t>SAF_LINE_DETEC_OFF</t>
  </si>
  <si>
    <t xml:space="preserve">Line detection left </t>
  </si>
  <si>
    <t>SAF_LINE_DETEC_LEFT</t>
  </si>
  <si>
    <t xml:space="preserve">Line detection right </t>
  </si>
  <si>
    <t>SAF_LINE_DETEC_RIGHT</t>
  </si>
  <si>
    <t>blind spot detection off</t>
  </si>
  <si>
    <t>SAF_BLIND_SPOT_DETEC_OFF</t>
  </si>
  <si>
    <t>blind spot detection on</t>
  </si>
  <si>
    <t>SAF_BLIND_SPOT_DETEC_ON</t>
  </si>
  <si>
    <t>Blind spot detection left</t>
  </si>
  <si>
    <t>SAF_BLIND_SPOT_DETEC_LEFT</t>
  </si>
  <si>
    <t>Blind spot detection right</t>
  </si>
  <si>
    <t>SAF_BLIND_SPOT_DETEC_RIGHT</t>
  </si>
  <si>
    <t>Rear camera on</t>
  </si>
  <si>
    <t>SAF_REAR_CAM_ON</t>
  </si>
  <si>
    <t>Rear camera off</t>
  </si>
  <si>
    <t>SAF_REAR_CAM_OFF</t>
  </si>
  <si>
    <t>Rear camera video signal</t>
  </si>
  <si>
    <t>SAF_REAR_CAM_VID_SIG</t>
  </si>
  <si>
    <t>Front camera on</t>
  </si>
  <si>
    <t>SAF_FRONT_CAM_ON</t>
  </si>
  <si>
    <t>Front camera off</t>
  </si>
  <si>
    <t>SAF_FRONT_CAM_OFF</t>
  </si>
  <si>
    <t>Front camera video signal</t>
  </si>
  <si>
    <t>SAF_FRONT_CAM_VID_SIG</t>
  </si>
  <si>
    <t>parking assist back up sensor</t>
  </si>
  <si>
    <t>SAF_PARK_ASSIST_BACK_UP_SENSOR</t>
  </si>
  <si>
    <t>parking assist front sensor</t>
  </si>
  <si>
    <t>SAF_PARK_ASSIST_FRONT_SENSOR</t>
  </si>
  <si>
    <t>parking assist left sensor</t>
  </si>
  <si>
    <t>SAF_PARK_ASSIST_LEFT_SENSOR</t>
  </si>
  <si>
    <t>parking assist right sensor</t>
  </si>
  <si>
    <t>SAF_PARK_ASSIST_RIGHT_SENSOR</t>
  </si>
  <si>
    <t>parking assist parrallel parking on</t>
  </si>
  <si>
    <t>SAF_PARK_ASSIST_PARALLEL_PARK_ON</t>
  </si>
  <si>
    <t>parking assist parrallel parking off</t>
  </si>
  <si>
    <t>SAF_PARK_ASSIST_PARRALEL_PARK_OFF</t>
  </si>
  <si>
    <t>Brake pressure switch</t>
  </si>
  <si>
    <t>SAF_BRAKE_PRESSURE_SWITCH</t>
  </si>
  <si>
    <t>Horn on</t>
  </si>
  <si>
    <t>SAF_HORN_ON</t>
  </si>
  <si>
    <t>Horn off</t>
  </si>
  <si>
    <t>SAF_HORN_OFF</t>
  </si>
  <si>
    <t>tilt sensor</t>
  </si>
  <si>
    <t>SAF_TILT_SENSOR</t>
  </si>
  <si>
    <t>air bag deployed</t>
  </si>
  <si>
    <t>SAF_AIRBAG_DEPLOYED</t>
  </si>
  <si>
    <t>SRS (Supplemental Restraint System) light on</t>
  </si>
  <si>
    <t>SAF_SRS_LIGHT_ON</t>
  </si>
  <si>
    <t>SRS (Supplemental Restraint System) light off</t>
  </si>
  <si>
    <t>SAF_SRS_LIGHT_OFF</t>
  </si>
  <si>
    <t>seatbelt front driver</t>
  </si>
  <si>
    <t>SAF_SEATBELT_FD</t>
  </si>
  <si>
    <t>seatbelt front passenger</t>
  </si>
  <si>
    <t>SAF_SEATBELT_FP</t>
  </si>
  <si>
    <t>seatbelt rear passenger</t>
  </si>
  <si>
    <t>SAF_SEATBELT_RP</t>
  </si>
  <si>
    <t>seatbelt rear driver</t>
  </si>
  <si>
    <t>SAF_SEATBELT_RD</t>
  </si>
  <si>
    <t>seatbelt extra passenger(s)</t>
  </si>
  <si>
    <t>SAF_SEATBELT_OTHER_PASS</t>
  </si>
  <si>
    <t>seat occupent sensor front driver</t>
  </si>
  <si>
    <t>SAF_SEAT_OCC_FD</t>
  </si>
  <si>
    <t>seat occupent sensor front passenger</t>
  </si>
  <si>
    <t>SAF_SEAT_OCC_FP</t>
  </si>
  <si>
    <t>seat occupent sensor rear passenger</t>
  </si>
  <si>
    <t>SAF_SEAT_OCC_RP</t>
  </si>
  <si>
    <t>seat occupent sensor rear driver</t>
  </si>
  <si>
    <t>SAF_SEAT_OCC_RD</t>
  </si>
  <si>
    <t>seat occupent sensor extra passenger(s)</t>
  </si>
  <si>
    <t>SAF_SEAT_OCC_OTHER_PASS</t>
  </si>
  <si>
    <t>Ignition switch</t>
  </si>
  <si>
    <t>0x13</t>
  </si>
  <si>
    <t>Tumbler switch</t>
  </si>
  <si>
    <t>IGN_TUMBLER_SW</t>
  </si>
  <si>
    <t xml:space="preserve">PTS button press </t>
  </si>
  <si>
    <t>IGN_PTS_BUTTON_PRESS</t>
  </si>
  <si>
    <t>PTS button release</t>
  </si>
  <si>
    <t>IGN_PTS_BUTTON_RELEASE</t>
  </si>
  <si>
    <t>Instrument Cluster</t>
  </si>
  <si>
    <t>SPEED</t>
  </si>
  <si>
    <t>CLUS_SPEED</t>
  </si>
  <si>
    <t>odometer trip A</t>
  </si>
  <si>
    <t>CLUS_ODO_TRIP_A</t>
  </si>
  <si>
    <t>odometer trip B</t>
  </si>
  <si>
    <t>CLUS_ODO_TRIP_B</t>
  </si>
  <si>
    <t>batterie voltage</t>
  </si>
  <si>
    <t>CLUS_VBAT</t>
  </si>
  <si>
    <t>injector duty cycle</t>
  </si>
  <si>
    <t>CLUS_INJ_DUTY_CYCLE</t>
  </si>
  <si>
    <t>ignition spark advance timming</t>
  </si>
  <si>
    <t>CLUS_SPARK_ADV_TIME</t>
  </si>
  <si>
    <t>engine turbo pressure (psi)</t>
  </si>
  <si>
    <t>CLUS_TURBO_PRESS</t>
  </si>
  <si>
    <t>Mass Air flow sensor</t>
  </si>
  <si>
    <t>CLUS_AIR_FLOW</t>
  </si>
  <si>
    <t>Manifold Absolute Pressure</t>
  </si>
  <si>
    <t>CLUS_MANIFOLD_PRESS</t>
  </si>
  <si>
    <t>Oxygen sensor</t>
  </si>
  <si>
    <t>CLUS_OXYGEN</t>
  </si>
  <si>
    <t>engine torque</t>
  </si>
  <si>
    <t>CLUS_TORQUE</t>
  </si>
  <si>
    <t>fuel consumption average(l/100km)</t>
  </si>
  <si>
    <t>CLUS_FUEL_CONS_AVG</t>
  </si>
  <si>
    <t>fuel consumption instant(l/100km)</t>
  </si>
  <si>
    <t>CLUS_FUEL_CONS_INST</t>
  </si>
  <si>
    <t>fuel distance remaining</t>
  </si>
  <si>
    <t>CLUS_FUEL_REM_DISTANCE</t>
  </si>
  <si>
    <t>Fuel level</t>
  </si>
  <si>
    <t>CLUS_FUEL_LEVEL</t>
  </si>
  <si>
    <t>coolant temperature</t>
  </si>
  <si>
    <t>CLUS_COOLANT_TEMP</t>
  </si>
  <si>
    <t>intake air temperature</t>
  </si>
  <si>
    <t>CLUS_INTAKE_TEMP</t>
  </si>
  <si>
    <t>outside air temperature</t>
  </si>
  <si>
    <t>CLUS_OUTDOOR_TEMP</t>
  </si>
  <si>
    <t>Accelerator pedal position sensor</t>
  </si>
  <si>
    <t>CLUS_ACCEL_PEDAL_POS</t>
  </si>
  <si>
    <t>Throttle position sensor</t>
  </si>
  <si>
    <t>CLUS_THROTTLE_POS</t>
  </si>
  <si>
    <t>Glow plug on</t>
  </si>
  <si>
    <t>CLUS_GLOWPLUG_ON</t>
  </si>
  <si>
    <t>Glow plug off</t>
  </si>
  <si>
    <t>CLUS_GLOWPLUG_OFF</t>
  </si>
  <si>
    <t>Multimedia</t>
  </si>
  <si>
    <t>Miscellaneous</t>
  </si>
  <si>
    <t>0x15</t>
  </si>
  <si>
    <t>power converter on (120 AC)</t>
  </si>
  <si>
    <t>MISC_PWR_CONVERT_ON</t>
  </si>
  <si>
    <t>power converter off (120 AC)</t>
  </si>
  <si>
    <t>MISC_PWR_CONVERT_OFF</t>
  </si>
  <si>
    <t>garage door controler 1</t>
  </si>
  <si>
    <t>MISC_GARAGE_DOOR_CTRL_1</t>
  </si>
  <si>
    <t>garage door controler 2</t>
  </si>
  <si>
    <t>MISC_GARAGE_DOOR_CTRL_2</t>
  </si>
  <si>
    <t>garage door controler 3</t>
  </si>
  <si>
    <t>MISC_GARAGE_DOOR_CTRL_3</t>
  </si>
  <si>
    <t>VIN PART 1</t>
  </si>
  <si>
    <t>MISC_VIN_1</t>
  </si>
  <si>
    <t>VIN PART 2</t>
  </si>
  <si>
    <t>MISC_VIN_2</t>
  </si>
  <si>
    <t>VIN PART 3</t>
  </si>
  <si>
    <t>MISC_VIN_3</t>
  </si>
  <si>
    <t>ANALOG_INPUT</t>
  </si>
  <si>
    <t>0x16</t>
  </si>
  <si>
    <t>RF_START_STOP_TOGGLE</t>
  </si>
  <si>
    <t>INPUT_RF_START_STOP_TOGGLE</t>
  </si>
  <si>
    <t>INPUT_INST_TRIG_STATUS</t>
  </si>
  <si>
    <t>SENSE_INPUT_CUSTOM_POS1_HASH</t>
  </si>
  <si>
    <t>INPUT_CUSTOM_POS1</t>
  </si>
  <si>
    <t>SENSE_INPUT_SENSOR_TRIGGER_HASH</t>
  </si>
  <si>
    <t>INPUT_SENSOR_TRIGGER</t>
  </si>
  <si>
    <t>INPUT_PUSH_BUTTON</t>
  </si>
  <si>
    <t>Description</t>
  </si>
  <si>
    <t>Name</t>
  </si>
  <si>
    <t>Enabled</t>
  </si>
  <si>
    <t>M2M Tags
format</t>
  </si>
  <si>
    <t>Timeout
seconds</t>
  </si>
  <si>
    <t>M2M format</t>
  </si>
  <si>
    <t>M2M Id</t>
  </si>
  <si>
    <t>M2M 
format 
code</t>
  </si>
  <si>
    <t>M2M
tags</t>
  </si>
  <si>
    <t>Default value</t>
  </si>
  <si>
    <t>Size Bits</t>
  </si>
  <si>
    <t>16 bits</t>
  </si>
  <si>
    <t>single bit value = 0</t>
  </si>
  <si>
    <t>same as RKE_1 ??</t>
  </si>
  <si>
    <t>Regroup ??</t>
  </si>
  <si>
    <t>name ??</t>
  </si>
  <si>
    <t>remove ??</t>
  </si>
  <si>
    <t>regroup??</t>
  </si>
  <si>
    <t>Format ??</t>
  </si>
  <si>
    <t>m</t>
  </si>
  <si>
    <t>u8</t>
  </si>
  <si>
    <t>format ??</t>
  </si>
  <si>
    <t>u16</t>
  </si>
  <si>
    <t>*x8 aka q8.8, a 16-bit fixed point format</t>
  </si>
  <si>
    <t>u32</t>
  </si>
  <si>
    <t>*8-bit number of bytes prefixing binary string</t>
  </si>
  <si>
    <t>0x08, 0xFF, 0xFF, 0xFF, 0xFF, 0xFF, 0xFF, 0xFF, 0xFF</t>
  </si>
  <si>
    <t>s8</t>
  </si>
  <si>
    <t>climate control temp setting front driver</t>
  </si>
  <si>
    <t>COMF_CLIMATE_CONT_TEMP_SET_FD</t>
  </si>
  <si>
    <t>climate control temp setting front passenger</t>
  </si>
  <si>
    <t>COMF_CLIMATE_CONT_TEMP_SET_FP</t>
  </si>
  <si>
    <t>climate control temp setting rear passenger</t>
  </si>
  <si>
    <t>COMF_CLIMATE_CONT_TEMP_SET_RP</t>
  </si>
  <si>
    <t>climate control temp setting rear driver</t>
  </si>
  <si>
    <t>COMF_CLIMATE_CONT_TEMP_SET_RD</t>
  </si>
  <si>
    <t>TagSize</t>
  </si>
  <si>
    <t>Format</t>
  </si>
  <si>
    <t>Code</t>
  </si>
  <si>
    <t>size bit</t>
  </si>
  <si>
    <t>32 Bits</t>
  </si>
  <si>
    <t>*x16 aka q16.16, a 32-bit fixed point format</t>
  </si>
  <si>
    <t>*zero-terminated byte string (C-string)</t>
  </si>
  <si>
    <t>N</t>
  </si>
  <si>
    <t>single bit value = 1</t>
  </si>
  <si>
    <t>s16</t>
  </si>
  <si>
    <t>*IEEE half-precision  (5 bits exponent)</t>
  </si>
  <si>
    <t>s32</t>
  </si>
  <si>
    <t>*IEEE single-precision (8 bits exponent)</t>
  </si>
  <si>
    <t>*zero-halfword terminated halfword string (J-string)</t>
  </si>
  <si>
    <t>*16-bit number of bytes prefixing binary string</t>
  </si>
  <si>
    <t>Transmission</t>
  </si>
  <si>
    <t>Data type</t>
  </si>
  <si>
    <t xml:space="preserve">Car type </t>
  </si>
  <si>
    <t>Baudrate</t>
  </si>
  <si>
    <t>broadcast or event driven</t>
  </si>
  <si>
    <t>Year</t>
  </si>
  <si>
    <t>Years</t>
  </si>
  <si>
    <t>Signal</t>
  </si>
  <si>
    <t>byte Location</t>
  </si>
  <si>
    <t>POLARITY</t>
  </si>
  <si>
    <t>CAN Type</t>
  </si>
  <si>
    <t>BP Key Type</t>
  </si>
  <si>
    <t>BP Version</t>
  </si>
  <si>
    <t>Trapping Func</t>
  </si>
  <si>
    <t>Input type</t>
  </si>
  <si>
    <t>Input Operation</t>
  </si>
  <si>
    <t>If Else</t>
  </si>
  <si>
    <t>ELSEIF</t>
  </si>
  <si>
    <t>OBD STD REQ</t>
  </si>
  <si>
    <t>OBD EXT REQ</t>
  </si>
  <si>
    <t>NULL</t>
  </si>
  <si>
    <t>INPUT_TYPE_OFF</t>
  </si>
  <si>
    <t>INPUT_OPER_NONE</t>
  </si>
  <si>
    <t>7E0</t>
  </si>
  <si>
    <t>Manual</t>
  </si>
  <si>
    <t>Broadcast</t>
  </si>
  <si>
    <t>PTS</t>
  </si>
  <si>
    <t>KM</t>
  </si>
  <si>
    <t>Analog</t>
  </si>
  <si>
    <t>Single Wire</t>
  </si>
  <si>
    <t>DST40</t>
  </si>
  <si>
    <t>INPUT_TYPE_GPIO</t>
  </si>
  <si>
    <t>INPUT_OPER_AND</t>
  </si>
  <si>
    <t>&gt;</t>
  </si>
  <si>
    <t>7E1</t>
  </si>
  <si>
    <t>Event driven</t>
  </si>
  <si>
    <t>KM/H</t>
  </si>
  <si>
    <t>Event Driven</t>
  </si>
  <si>
    <t>State encoded</t>
  </si>
  <si>
    <t>DST80</t>
  </si>
  <si>
    <t>INPUT_TYPE_TACH</t>
  </si>
  <si>
    <t>INPUT_OPER_OR</t>
  </si>
  <si>
    <t>not equal</t>
  </si>
  <si>
    <t>7E2</t>
  </si>
  <si>
    <t>Ω</t>
  </si>
  <si>
    <t>HITAG2</t>
  </si>
  <si>
    <t>INPUT_OPER_XOR</t>
  </si>
  <si>
    <t>&lt;</t>
  </si>
  <si>
    <t>7E3</t>
  </si>
  <si>
    <t>°C</t>
  </si>
  <si>
    <t>C200</t>
  </si>
  <si>
    <t>7E4</t>
  </si>
  <si>
    <t>%</t>
  </si>
  <si>
    <t>7E5</t>
  </si>
  <si>
    <t>rpm</t>
  </si>
  <si>
    <t>SUBARU</t>
  </si>
  <si>
    <t>7E6</t>
  </si>
  <si>
    <t>grams/sec</t>
  </si>
  <si>
    <t>7E7</t>
  </si>
  <si>
    <t>kPa</t>
  </si>
  <si>
    <t>Volts</t>
  </si>
  <si>
    <t>Volts %</t>
  </si>
  <si>
    <t>seconds</t>
  </si>
  <si>
    <t>Pa</t>
  </si>
  <si>
    <t>A</t>
  </si>
  <si>
    <t>mA</t>
  </si>
  <si>
    <t>L</t>
  </si>
  <si>
    <t>L/h</t>
  </si>
  <si>
    <t>Nm</t>
  </si>
  <si>
    <t>Debounce in us</t>
  </si>
  <si>
    <t>Input name</t>
  </si>
  <si>
    <t>Wire color</t>
  </si>
  <si>
    <t>Index</t>
  </si>
  <si>
    <t>Change</t>
  </si>
  <si>
    <t>type</t>
  </si>
  <si>
    <t>Operation</t>
  </si>
  <si>
    <t>Input 2 Index</t>
  </si>
  <si>
    <t>Falling</t>
  </si>
  <si>
    <t>Raising</t>
  </si>
  <si>
    <t>Sense</t>
  </si>
  <si>
    <t>SenseType</t>
  </si>
  <si>
    <t>IO_INPUT_IGN</t>
  </si>
  <si>
    <t>Pink</t>
  </si>
  <si>
    <t>IO_INPUT_1</t>
  </si>
  <si>
    <t>Violet</t>
  </si>
  <si>
    <t>IO_INPUT_START</t>
  </si>
  <si>
    <t>Brown</t>
  </si>
  <si>
    <t>IO_INPUT_GWR</t>
  </si>
  <si>
    <t>White/blue</t>
  </si>
  <si>
    <t>IO_INPUT_AUX3</t>
  </si>
  <si>
    <t>Red/blue</t>
  </si>
  <si>
    <t>IO_INPUT_AUX2</t>
  </si>
  <si>
    <t>Black/white</t>
  </si>
  <si>
    <t>IO_INPUT_AUX1</t>
  </si>
  <si>
    <t>Orange/black</t>
  </si>
  <si>
    <t>IO_INPUT_TRUNK</t>
  </si>
  <si>
    <t>IO_INPUT_UNLOCK</t>
  </si>
  <si>
    <t xml:space="preserve">Green </t>
  </si>
  <si>
    <t>IO_INPUT_LOCK</t>
  </si>
  <si>
    <t>Grey</t>
  </si>
  <si>
    <t>IO_INPUT_TACH</t>
  </si>
  <si>
    <t>Violet/white</t>
  </si>
  <si>
    <t>//extra input only when not used</t>
  </si>
  <si>
    <t>IO_CAN_SW_RX2</t>
  </si>
  <si>
    <t>Lt. Green</t>
  </si>
  <si>
    <t>IO_ISO1_RX2</t>
  </si>
  <si>
    <t>Yellow/black</t>
  </si>
  <si>
    <t>IO_ISO2_RX2</t>
  </si>
  <si>
    <t>IO_ADC2_IN2</t>
  </si>
  <si>
    <t>Violet/Brown</t>
  </si>
  <si>
    <t>//Cannot be changed</t>
  </si>
  <si>
    <t>IO_VBAT</t>
  </si>
  <si>
    <t>IO_INPUT_PUSH</t>
  </si>
  <si>
    <t>(millisecond)</t>
  </si>
  <si>
    <t>(second)</t>
  </si>
  <si>
    <t>Verbose Level:</t>
  </si>
  <si>
    <t>CAN PORT:</t>
  </si>
  <si>
    <t>USE CAN Extend ID:</t>
  </si>
  <si>
    <t>NB_RETRIES:</t>
  </si>
  <si>
    <t>NB MAX DISCONNECT:</t>
  </si>
  <si>
    <t>OBD_REQUEST_DELAY:</t>
  </si>
  <si>
    <t>NEXT FRAME DELAY:</t>
  </si>
  <si>
    <t>INITIAL Request Delay</t>
  </si>
  <si>
    <t>Number of request</t>
  </si>
  <si>
    <t>ECU STD REQ MIN</t>
  </si>
  <si>
    <t>ECU STD REQ MAX</t>
  </si>
  <si>
    <t>ECU STD RESP MIN</t>
  </si>
  <si>
    <t>ECU STD RESP MAX</t>
  </si>
  <si>
    <t>ECU EXT REQ MIN</t>
  </si>
  <si>
    <t>ECU EXT REQ MAX</t>
  </si>
  <si>
    <t>ECU EXT RESP MIN</t>
  </si>
  <si>
    <t>ECU EXT RESP MAX</t>
  </si>
  <si>
    <t>18DA10F1</t>
  </si>
  <si>
    <t>18DA17F1</t>
  </si>
  <si>
    <t>Request:</t>
  </si>
  <si>
    <t>Period</t>
  </si>
  <si>
    <t>Tx Size</t>
  </si>
  <si>
    <t>SID RQ</t>
  </si>
  <si>
    <t>Info Type (PID)</t>
  </si>
  <si>
    <t>SenseHash ID</t>
  </si>
  <si>
    <t>decode Function (index from firmware)</t>
  </si>
  <si>
    <t>OBD_CAN_VIN</t>
  </si>
  <si>
    <t>OBD_CAN_MODE9</t>
  </si>
  <si>
    <t>OBD_CAN_ENG_COOLANT</t>
  </si>
  <si>
    <t>OBD_CAN_MODE1</t>
  </si>
  <si>
    <t>0x05</t>
  </si>
  <si>
    <t>OBD_CAN_RPM</t>
  </si>
  <si>
    <t>OBD_CAN_SPEED</t>
  </si>
  <si>
    <t>OBD_CAN_ENG_RUN</t>
  </si>
  <si>
    <t>0x1F</t>
  </si>
  <si>
    <t>OBD_CAN_FUEL_LEVEL</t>
  </si>
  <si>
    <t>0x2F</t>
  </si>
  <si>
    <t>OBD_CAN_AIR_AMB</t>
  </si>
  <si>
    <t>0x46</t>
  </si>
  <si>
    <t>OBD_CAN_INTAKE_TEMP</t>
  </si>
  <si>
    <t>OBD_CAN_BAT_VOLT</t>
  </si>
  <si>
    <t>0x42</t>
  </si>
  <si>
    <t>OBD_CAN_DTC_CODE</t>
  </si>
  <si>
    <t>OBD_CAN_MODE3</t>
  </si>
  <si>
    <t>0x00</t>
  </si>
  <si>
    <t>OBD_CAN_DTC_CLR</t>
  </si>
  <si>
    <t>OBD_CAN_MODE4</t>
  </si>
  <si>
    <t>watchdogPollingInterval</t>
  </si>
  <si>
    <t>ms</t>
  </si>
  <si>
    <t>watchdogResponseTimeout</t>
  </si>
  <si>
    <t>watchogTaskTimeout</t>
  </si>
  <si>
    <t>watchdogHeapAlmostFullThreshold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</si>
</sst>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6" x14ac:knownFonts="1">
    <font>
      <sz val="11"/>
      <color theme="1"/>
      <name val="Calibri"/>
      <family val="2"/>
      <scheme val="minor"/>
    </font>
    <font>
      <b/>
      <sz val="11"/>
      <color rgb="FF3F3F3F"/>
      <name val="Calibri"/>
      <family val="2"/>
      <scheme val="minor"/>
    </font>
    <font>
      <b/>
      <sz val="11"/>
      <color theme="1"/>
      <name val="Calibri"/>
      <family val="2"/>
      <scheme val="minor"/>
    </font>
    <font>
      <sz val="11"/>
      <color theme="1"/>
      <name val="Calibri"/>
      <family val="2"/>
    </font>
    <font>
      <b/>
      <sz val="16"/>
      <color theme="1"/>
      <name val="Calibri"/>
      <family val="2"/>
      <scheme val="minor"/>
    </font>
    <font>
      <b/>
      <sz val="11"/>
      <color theme="0"/>
      <name val="Calibri"/>
      <family val="2"/>
      <scheme val="minor"/>
    </font>
    <font>
      <sz val="11"/>
      <color theme="0"/>
      <name val="Calibri"/>
      <family val="2"/>
      <scheme val="minor"/>
    </font>
    <font>
      <sz val="11"/>
      <color theme="0"/>
      <name val="Calibri"/>
      <family val="2"/>
    </font>
    <font>
      <sz val="12"/>
      <color theme="1"/>
      <name val="Calibri"/>
      <family val="2"/>
      <scheme val="minor"/>
    </font>
    <font>
      <sz val="24"/>
      <color theme="1"/>
      <name val="Calibri"/>
      <family val="2"/>
      <scheme val="minor"/>
    </font>
    <font>
      <sz val="24"/>
      <name val="Calibri"/>
      <family val="2"/>
      <scheme val="minor"/>
    </font>
    <font>
      <b/>
      <sz val="14"/>
      <color rgb="FF3F3F3F"/>
      <name val="Calibri"/>
      <family val="2"/>
      <scheme val="minor"/>
    </font>
    <font>
      <sz val="11"/>
      <color rgb="FF3F3F3F"/>
      <name val="Calibri"/>
      <family val="2"/>
      <scheme val="minor"/>
    </font>
    <font>
      <sz val="14"/>
      <name val="Calibri"/>
      <family val="2"/>
      <scheme val="minor"/>
    </font>
    <font>
      <sz val="11"/>
      <name val="Calibri"/>
      <family val="2"/>
      <scheme val="minor"/>
    </font>
    <font>
      <sz val="11"/>
      <color theme="1"/>
      <name val="Calibri"/>
      <family val="2"/>
      <scheme val="minor"/>
    </font>
    <font>
      <b/>
      <sz val="11"/>
      <color rgb="FFFA7D00"/>
      <name val="Calibri"/>
      <family val="2"/>
      <scheme val="minor"/>
    </font>
    <font>
      <b/>
      <sz val="10"/>
      <color rgb="FF000000"/>
      <name val="Arial"/>
      <family val="2"/>
    </font>
    <font>
      <b/>
      <sz val="20"/>
      <color theme="1"/>
      <name val="Calibri"/>
      <family val="2"/>
      <scheme val="minor"/>
    </font>
    <font>
      <b/>
      <sz val="24"/>
      <color theme="1"/>
      <name val="Calibri"/>
      <family val="2"/>
      <scheme val="minor"/>
    </font>
    <font>
      <b/>
      <sz val="11"/>
      <color theme="1"/>
      <name val="Calibri"/>
      <family val="2"/>
    </font>
    <font>
      <b/>
      <i/>
      <sz val="11"/>
      <color rgb="FF0070C0"/>
      <name val="Calibri"/>
      <family val="2"/>
    </font>
    <font>
      <i/>
      <sz val="11"/>
      <color rgb="FF0070C0"/>
      <name val="Calibri"/>
      <family val="2"/>
    </font>
    <font>
      <b/>
      <sz val="14"/>
      <color theme="1"/>
      <name val="Calibri"/>
      <family val="2"/>
      <scheme val="minor"/>
    </font>
    <font>
      <sz val="11"/>
      <color rgb="FFFF0000"/>
      <name val="Calibri"/>
      <family val="2"/>
      <scheme val="minor"/>
    </font>
    <font>
      <sz val="10"/>
      <color rgb="FF000000"/>
      <name val="Segoe UI"/>
      <family val="2"/>
    </font>
  </fonts>
  <fills count="21">
    <fill>
      <patternFill patternType="none"/>
    </fill>
    <fill>
      <patternFill patternType="gray125"/>
    </fill>
    <fill>
      <patternFill patternType="solid">
        <fgColor rgb="FFF2F2F2"/>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FFFF00"/>
        <bgColor indexed="64"/>
      </patternFill>
    </fill>
    <fill>
      <patternFill patternType="solid">
        <fgColor theme="0" tint="-0.34998626667073579"/>
        <bgColor indexed="64"/>
      </patternFill>
    </fill>
    <fill>
      <patternFill patternType="solid">
        <fgColor rgb="FFA5A5A5"/>
      </patternFill>
    </fill>
    <fill>
      <patternFill patternType="solid">
        <fgColor rgb="FFFF0000"/>
        <bgColor indexed="64"/>
      </patternFill>
    </fill>
    <fill>
      <patternFill patternType="solid">
        <fgColor theme="8"/>
      </patternFill>
    </fill>
    <fill>
      <patternFill patternType="solid">
        <fgColor rgb="FFFFFFCC"/>
      </patternFill>
    </fill>
    <fill>
      <patternFill patternType="solid">
        <fgColor theme="8"/>
        <bgColor indexed="64"/>
      </patternFill>
    </fill>
    <fill>
      <patternFill patternType="solid">
        <fgColor rgb="FF0070C0"/>
        <bgColor indexed="64"/>
      </patternFill>
    </fill>
    <fill>
      <patternFill patternType="solid">
        <fgColor indexed="22"/>
        <bgColor indexed="64"/>
      </patternFill>
    </fill>
    <fill>
      <patternFill patternType="solid">
        <fgColor rgb="FF92D050"/>
        <bgColor indexed="64"/>
      </patternFill>
    </fill>
    <fill>
      <patternFill patternType="solid">
        <fgColor theme="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0"/>
        <bgColor indexed="64"/>
      </patternFill>
    </fill>
    <fill>
      <patternFill patternType="solid">
        <fgColor rgb="FFFFC000"/>
        <bgColor indexed="64"/>
      </patternFill>
    </fill>
  </fills>
  <borders count="29">
    <border>
      <left/>
      <right/>
      <top/>
      <bottom/>
      <diagonal/>
    </border>
    <border>
      <left style="thin">
        <color rgb="FF3F3F3F"/>
      </left>
      <right style="thin">
        <color rgb="FF3F3F3F"/>
      </right>
      <top style="thin">
        <color rgb="FF3F3F3F"/>
      </top>
      <bottom style="thin">
        <color rgb="FF3F3F3F"/>
      </bottom>
      <diagonal/>
    </border>
    <border>
      <left style="medium">
        <color indexed="64"/>
      </left>
      <right style="thin">
        <color indexed="64"/>
      </right>
      <top style="thin">
        <color indexed="64"/>
      </top>
      <bottom style="thin">
        <color indexed="64"/>
      </bottom>
      <diagonal/>
    </border>
    <border>
      <left style="double">
        <color rgb="FF3F3F3F"/>
      </left>
      <right style="double">
        <color rgb="FF3F3F3F"/>
      </right>
      <top style="double">
        <color rgb="FF3F3F3F"/>
      </top>
      <bottom style="double">
        <color rgb="FF3F3F3F"/>
      </bottom>
      <diagonal/>
    </border>
    <border>
      <left/>
      <right/>
      <top/>
      <bottom style="thin">
        <color rgb="FF3F3F3F"/>
      </bottom>
      <diagonal/>
    </border>
    <border>
      <left style="thin">
        <color rgb="FF3F3F3F"/>
      </left>
      <right style="thin">
        <color rgb="FF3F3F3F"/>
      </right>
      <top style="thin">
        <color rgb="FF3F3F3F"/>
      </top>
      <bottom/>
      <diagonal/>
    </border>
    <border>
      <left style="thin">
        <color rgb="FF3F3F3F"/>
      </left>
      <right style="thin">
        <color rgb="FF3F3F3F"/>
      </right>
      <top/>
      <bottom/>
      <diagonal/>
    </border>
    <border>
      <left style="thin">
        <color rgb="FF3F3F3F"/>
      </left>
      <right style="thin">
        <color rgb="FF3F3F3F"/>
      </right>
      <top/>
      <bottom style="thin">
        <color rgb="FF3F3F3F"/>
      </bottom>
      <diagonal/>
    </border>
    <border>
      <left/>
      <right/>
      <top style="thin">
        <color theme="4"/>
      </top>
      <bottom style="double">
        <color theme="4"/>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style="double">
        <color theme="4"/>
      </top>
      <bottom/>
      <diagonal/>
    </border>
    <border>
      <left/>
      <right/>
      <top/>
      <bottom style="thin">
        <color indexed="64"/>
      </bottom>
      <diagonal/>
    </border>
    <border>
      <left/>
      <right/>
      <top style="thin">
        <color rgb="FF3F3F3F"/>
      </top>
      <bottom/>
      <diagonal/>
    </border>
    <border>
      <left/>
      <right/>
      <top style="thin">
        <color rgb="FF3F3F3F"/>
      </top>
      <bottom style="thin">
        <color rgb="FF7F7F7F"/>
      </bottom>
      <diagonal/>
    </border>
    <border>
      <left/>
      <right style="thin">
        <color rgb="FF7F7F7F"/>
      </right>
      <top style="thin">
        <color rgb="FF3F3F3F"/>
      </top>
      <bottom style="thin">
        <color rgb="FF7F7F7F"/>
      </bottom>
      <diagonal/>
    </border>
    <border>
      <left/>
      <right/>
      <top style="thin">
        <color rgb="FF3F3F3F"/>
      </top>
      <bottom style="thin">
        <color rgb="FF3F3F3F"/>
      </bottom>
      <diagonal/>
    </border>
    <border>
      <left/>
      <right style="thin">
        <color rgb="FF7F7F7F"/>
      </right>
      <top style="thin">
        <color rgb="FF3F3F3F"/>
      </top>
      <bottom style="thin">
        <color rgb="FF3F3F3F"/>
      </bottom>
      <diagonal/>
    </border>
    <border>
      <left/>
      <right/>
      <top/>
      <bottom style="double">
        <color theme="4"/>
      </bottom>
      <diagonal/>
    </border>
    <border>
      <left style="double">
        <color rgb="FF3F3F3F"/>
      </left>
      <right style="double">
        <color rgb="FF3F3F3F"/>
      </right>
      <top/>
      <bottom/>
      <diagonal/>
    </border>
    <border>
      <left/>
      <right/>
      <top/>
      <bottom style="double">
        <color rgb="FF00B0F0"/>
      </bottom>
      <diagonal/>
    </border>
    <border>
      <left style="thin">
        <color indexed="64"/>
      </left>
      <right style="thin">
        <color indexed="64"/>
      </right>
      <top style="thin">
        <color indexed="64"/>
      </top>
      <bottom style="thin">
        <color indexed="64"/>
      </bottom>
      <diagonal/>
    </border>
    <border>
      <left style="thin">
        <color rgb="FF3F3F3F"/>
      </left>
      <right/>
      <top style="thin">
        <color rgb="FF3F3F3F"/>
      </top>
      <bottom style="thin">
        <color rgb="FF3F3F3F"/>
      </bottom>
      <diagonal/>
    </border>
    <border>
      <left/>
      <right style="thin">
        <color rgb="FF3F3F3F"/>
      </right>
      <top style="thin">
        <color rgb="FF3F3F3F"/>
      </top>
      <bottom style="thin">
        <color rgb="FF3F3F3F"/>
      </bottom>
      <diagonal/>
    </border>
    <border>
      <left/>
      <right/>
      <top style="thin">
        <color rgb="FFB2B2B2"/>
      </top>
      <bottom style="thin">
        <color rgb="FFB2B2B2"/>
      </bottom>
      <diagonal/>
    </border>
    <border>
      <left/>
      <right style="thin">
        <color rgb="FFB2B2B2"/>
      </right>
      <top style="thin">
        <color rgb="FFB2B2B2"/>
      </top>
      <bottom style="thin">
        <color rgb="FFB2B2B2"/>
      </bottom>
      <diagonal/>
    </border>
    <border>
      <left/>
      <right/>
      <top style="double">
        <color theme="4"/>
      </top>
      <bottom style="thin">
        <color indexed="64"/>
      </bottom>
      <diagonal/>
    </border>
    <border>
      <left style="thin">
        <color rgb="FF7F7F7F"/>
      </left>
      <right style="thin">
        <color rgb="FF7F7F7F"/>
      </right>
      <top style="thin">
        <color rgb="FF3F3F3F"/>
      </top>
      <bottom style="thin">
        <color rgb="FF3F3F3F"/>
      </bottom>
      <diagonal/>
    </border>
    <border>
      <left style="thin">
        <color rgb="FF7F7F7F"/>
      </left>
      <right style="thin">
        <color rgb="FF7F7F7F"/>
      </right>
      <top style="thin">
        <color rgb="FF3F3F3F"/>
      </top>
      <bottom style="thin">
        <color rgb="FF7F7F7F"/>
      </bottom>
      <diagonal/>
    </border>
  </borders>
  <cellStyleXfs count="7">
    <xf numFmtId="0" fontId="0" fillId="0" borderId="0"/>
    <xf numFmtId="0" fontId="1" fillId="2" borderId="1"/>
    <xf numFmtId="0" fontId="5" fillId="8" borderId="3"/>
    <xf numFmtId="0" fontId="2" fillId="0" borderId="8"/>
    <xf numFmtId="0" fontId="16" fillId="2" borderId="9"/>
    <xf numFmtId="0" fontId="15" fillId="11" borderId="10"/>
    <xf numFmtId="0" fontId="6" fillId="10" borderId="0"/>
  </cellStyleXfs>
  <cellXfs count="147">
    <xf numFmtId="0" fontId="0" fillId="0" borderId="0" xfId="0"/>
    <xf numFmtId="0" fontId="3" fillId="0" borderId="0" xfId="0" applyFont="1" applyAlignment="1">
      <alignment horizontal="center" wrapText="1"/>
    </xf>
    <xf numFmtId="0" fontId="3" fillId="0" borderId="0" xfId="0" applyFont="1" applyAlignment="1">
      <alignment horizontal="center" vertical="center" wrapText="1"/>
    </xf>
    <xf numFmtId="0" fontId="0" fillId="4" borderId="0" xfId="0" applyFill="1"/>
    <xf numFmtId="49" fontId="1" fillId="4" borderId="1" xfId="1" applyNumberFormat="1" applyFill="1" applyAlignment="1">
      <alignment horizontal="left" vertical="center"/>
    </xf>
    <xf numFmtId="49" fontId="0" fillId="0" borderId="0" xfId="0" applyNumberFormat="1"/>
    <xf numFmtId="0" fontId="1" fillId="4" borderId="1" xfId="1" applyFill="1" applyAlignment="1">
      <alignment horizontal="center"/>
    </xf>
    <xf numFmtId="0" fontId="0" fillId="3" borderId="0" xfId="0" applyFill="1"/>
    <xf numFmtId="49" fontId="0" fillId="0" borderId="0" xfId="0" applyNumberFormat="1" applyAlignment="1">
      <alignment horizontal="center" vertical="center"/>
    </xf>
    <xf numFmtId="0" fontId="0" fillId="4" borderId="2" xfId="0" applyFill="1" applyBorder="1"/>
    <xf numFmtId="0" fontId="4" fillId="6" borderId="2" xfId="0" applyFont="1" applyFill="1" applyBorder="1"/>
    <xf numFmtId="49" fontId="1" fillId="6" borderId="1" xfId="1" applyNumberFormat="1" applyFill="1" applyAlignment="1">
      <alignment horizontal="center" vertical="center"/>
    </xf>
    <xf numFmtId="49" fontId="1" fillId="6" borderId="1" xfId="1" applyNumberFormat="1" applyFill="1" applyAlignment="1">
      <alignment horizontal="left" vertical="center"/>
    </xf>
    <xf numFmtId="49" fontId="0" fillId="0" borderId="0" xfId="0" applyNumberFormat="1" applyAlignment="1">
      <alignment horizontal="left"/>
    </xf>
    <xf numFmtId="49" fontId="1" fillId="4" borderId="1" xfId="1" applyNumberFormat="1" applyFill="1" applyAlignment="1">
      <alignment horizontal="left"/>
    </xf>
    <xf numFmtId="0" fontId="0" fillId="7" borderId="0" xfId="0" applyFill="1"/>
    <xf numFmtId="0" fontId="5" fillId="8" borderId="3" xfId="2" applyAlignment="1">
      <alignment horizontal="center"/>
    </xf>
    <xf numFmtId="0" fontId="6" fillId="8" borderId="3" xfId="2" applyFont="1" applyAlignment="1">
      <alignment horizontal="center"/>
    </xf>
    <xf numFmtId="0" fontId="7" fillId="8" borderId="3" xfId="2" applyFont="1" applyAlignment="1">
      <alignment horizontal="center"/>
    </xf>
    <xf numFmtId="0" fontId="8" fillId="0" borderId="0" xfId="0" applyFont="1"/>
    <xf numFmtId="0" fontId="9" fillId="4" borderId="4" xfId="0" applyFont="1" applyFill="1" applyBorder="1" applyAlignment="1">
      <alignment horizontal="center" vertical="center"/>
    </xf>
    <xf numFmtId="49" fontId="5" fillId="7" borderId="1" xfId="1" applyNumberFormat="1" applyFont="1" applyFill="1" applyAlignment="1">
      <alignment horizontal="center"/>
    </xf>
    <xf numFmtId="49" fontId="5" fillId="7" borderId="1" xfId="1" applyNumberFormat="1" applyFont="1" applyFill="1" applyAlignment="1">
      <alignment horizontal="center" vertical="center"/>
    </xf>
    <xf numFmtId="0" fontId="9" fillId="4" borderId="4" xfId="0" applyFont="1" applyFill="1" applyBorder="1" applyAlignment="1">
      <alignment horizontal="right" vertical="center"/>
    </xf>
    <xf numFmtId="0" fontId="9" fillId="4" borderId="0" xfId="0" applyFont="1" applyFill="1" applyAlignment="1">
      <alignment vertical="center"/>
    </xf>
    <xf numFmtId="49" fontId="11" fillId="5" borderId="1" xfId="1" applyNumberFormat="1" applyFont="1" applyFill="1" applyAlignment="1">
      <alignment horizontal="center" vertical="center"/>
    </xf>
    <xf numFmtId="0" fontId="1" fillId="6" borderId="1" xfId="1" applyFill="1" applyAlignment="1">
      <alignment horizontal="center" vertical="center" wrapText="1"/>
    </xf>
    <xf numFmtId="0" fontId="0" fillId="0" borderId="0" xfId="0"/>
    <xf numFmtId="0" fontId="8" fillId="0" borderId="0" xfId="0" applyFont="1" applyAlignment="1">
      <alignment horizontal="center"/>
    </xf>
    <xf numFmtId="0" fontId="9" fillId="4" borderId="0" xfId="0" applyFont="1" applyFill="1" applyAlignment="1">
      <alignment horizontal="center"/>
    </xf>
    <xf numFmtId="0" fontId="9" fillId="4" borderId="0" xfId="0" applyFont="1" applyFill="1" applyAlignment="1">
      <alignment horizontal="right"/>
    </xf>
    <xf numFmtId="49" fontId="1" fillId="4" borderId="1" xfId="1" applyNumberFormat="1" applyFill="1" applyAlignment="1">
      <alignment horizontal="center" vertical="center"/>
    </xf>
    <xf numFmtId="49" fontId="1" fillId="4" borderId="1" xfId="1" applyNumberFormat="1" applyFill="1" applyAlignment="1">
      <alignment horizontal="center"/>
    </xf>
    <xf numFmtId="49" fontId="1" fillId="0" borderId="1" xfId="1" applyNumberFormat="1" applyFill="1" applyAlignment="1">
      <alignment horizontal="center"/>
    </xf>
    <xf numFmtId="0" fontId="1" fillId="0" borderId="1" xfId="1" applyFill="1" applyAlignment="1">
      <alignment horizontal="center"/>
    </xf>
    <xf numFmtId="49" fontId="12" fillId="0" borderId="1" xfId="1" applyNumberFormat="1" applyFont="1" applyFill="1" applyAlignment="1">
      <alignment horizontal="center" vertical="center"/>
    </xf>
    <xf numFmtId="0" fontId="1" fillId="0" borderId="1" xfId="1" applyFill="1" applyAlignment="1">
      <alignment horizontal="center" vertical="center"/>
    </xf>
    <xf numFmtId="0" fontId="1" fillId="4" borderId="1" xfId="1" applyFill="1" applyAlignment="1">
      <alignment horizontal="left" vertical="center"/>
    </xf>
    <xf numFmtId="0" fontId="9" fillId="4" borderId="0" xfId="0" applyFont="1" applyFill="1"/>
    <xf numFmtId="0" fontId="9" fillId="4" borderId="4" xfId="0" applyFont="1" applyFill="1" applyBorder="1" applyAlignment="1">
      <alignment horizontal="right" vertical="top"/>
    </xf>
    <xf numFmtId="0" fontId="9" fillId="4" borderId="4" xfId="0" applyFont="1" applyFill="1" applyBorder="1" applyAlignment="1">
      <alignment horizontal="center" vertical="top"/>
    </xf>
    <xf numFmtId="0" fontId="9" fillId="4" borderId="0" xfId="0" applyFont="1" applyFill="1" applyAlignment="1">
      <alignment horizontal="left" vertical="center"/>
    </xf>
    <xf numFmtId="0" fontId="9" fillId="4" borderId="0" xfId="0" applyFont="1" applyFill="1" applyAlignment="1">
      <alignment horizontal="center" vertical="center"/>
    </xf>
    <xf numFmtId="49" fontId="2" fillId="10" borderId="8" xfId="3" applyNumberFormat="1" applyFill="1" applyAlignment="1">
      <alignment horizontal="center" vertical="center"/>
    </xf>
    <xf numFmtId="49" fontId="2" fillId="0" borderId="8" xfId="3" applyNumberFormat="1" applyAlignment="1">
      <alignment horizontal="center" vertical="center"/>
    </xf>
    <xf numFmtId="0" fontId="2" fillId="10" borderId="8" xfId="3" applyFill="1" applyAlignment="1">
      <alignment horizontal="center" vertical="center" wrapText="1"/>
    </xf>
    <xf numFmtId="0" fontId="2" fillId="0" borderId="8" xfId="3" applyAlignment="1">
      <alignment horizontal="center" vertical="center"/>
    </xf>
    <xf numFmtId="0" fontId="10" fillId="4" borderId="0" xfId="0" applyFont="1" applyFill="1" applyAlignment="1">
      <alignment horizontal="right"/>
    </xf>
    <xf numFmtId="0" fontId="9" fillId="4" borderId="0" xfId="0" applyFont="1" applyFill="1" applyAlignment="1">
      <alignment horizontal="right" vertical="center"/>
    </xf>
    <xf numFmtId="0" fontId="17" fillId="11" borderId="10" xfId="5" applyFont="1" applyAlignment="1">
      <alignment horizontal="left" vertical="center" wrapText="1"/>
    </xf>
    <xf numFmtId="0" fontId="1" fillId="2" borderId="1" xfId="1"/>
    <xf numFmtId="0" fontId="16" fillId="2" borderId="9" xfId="4"/>
    <xf numFmtId="0" fontId="16" fillId="2" borderId="9" xfId="4" applyAlignment="1">
      <alignment vertical="center"/>
    </xf>
    <xf numFmtId="49" fontId="11" fillId="5" borderId="5" xfId="1" applyNumberFormat="1" applyFont="1" applyFill="1" applyBorder="1" applyAlignment="1">
      <alignment vertical="center"/>
    </xf>
    <xf numFmtId="49" fontId="1" fillId="0" borderId="1" xfId="1" applyNumberFormat="1" applyFill="1" applyAlignment="1">
      <alignment horizontal="center" vertical="center"/>
    </xf>
    <xf numFmtId="0" fontId="1" fillId="4" borderId="1" xfId="1" applyFill="1" applyAlignment="1">
      <alignment horizontal="left"/>
    </xf>
    <xf numFmtId="49" fontId="2" fillId="10" borderId="0" xfId="3" applyNumberFormat="1" applyFill="1" applyBorder="1" applyAlignment="1">
      <alignment horizontal="center" vertical="center"/>
    </xf>
    <xf numFmtId="0" fontId="20" fillId="0" borderId="18" xfId="0" applyFont="1" applyBorder="1" applyAlignment="1">
      <alignment horizontal="center" vertical="center" wrapText="1"/>
    </xf>
    <xf numFmtId="49" fontId="1" fillId="0" borderId="7" xfId="1" applyNumberFormat="1" applyFill="1" applyBorder="1" applyAlignment="1">
      <alignment horizontal="center" vertical="center"/>
    </xf>
    <xf numFmtId="0" fontId="5" fillId="8" borderId="19" xfId="2" applyBorder="1" applyAlignment="1">
      <alignment horizontal="center"/>
    </xf>
    <xf numFmtId="0" fontId="6" fillId="8" borderId="19" xfId="2" applyFont="1" applyBorder="1" applyAlignment="1">
      <alignment horizontal="center"/>
    </xf>
    <xf numFmtId="49" fontId="1" fillId="6" borderId="1" xfId="1" applyNumberFormat="1" applyFill="1" applyAlignment="1">
      <alignment horizontal="left"/>
    </xf>
    <xf numFmtId="0" fontId="6" fillId="10" borderId="3" xfId="6" applyBorder="1"/>
    <xf numFmtId="49" fontId="1" fillId="14" borderId="1" xfId="1" applyNumberFormat="1" applyFill="1" applyAlignment="1">
      <alignment horizontal="left" vertical="center"/>
    </xf>
    <xf numFmtId="49" fontId="2" fillId="15" borderId="0" xfId="3" applyNumberFormat="1" applyFill="1" applyBorder="1" applyAlignment="1">
      <alignment horizontal="center" vertical="center"/>
    </xf>
    <xf numFmtId="0" fontId="21" fillId="0" borderId="20" xfId="0" applyFont="1" applyBorder="1" applyAlignment="1">
      <alignment horizontal="center" vertical="center" wrapText="1"/>
    </xf>
    <xf numFmtId="0" fontId="22" fillId="0" borderId="20" xfId="0" applyFont="1" applyBorder="1" applyAlignment="1">
      <alignment horizontal="center" vertical="center" wrapText="1"/>
    </xf>
    <xf numFmtId="49" fontId="1" fillId="14" borderId="1" xfId="1" applyNumberFormat="1" applyFill="1" applyAlignment="1">
      <alignment horizontal="left"/>
    </xf>
    <xf numFmtId="49" fontId="11" fillId="5" borderId="5" xfId="1" applyNumberFormat="1" applyFont="1" applyFill="1" applyBorder="1" applyAlignment="1">
      <alignment horizontal="center" vertical="center"/>
    </xf>
    <xf numFmtId="49" fontId="11" fillId="5" borderId="6" xfId="1" applyNumberFormat="1" applyFont="1" applyFill="1" applyBorder="1" applyAlignment="1">
      <alignment horizontal="center" vertical="center"/>
    </xf>
    <xf numFmtId="49" fontId="11" fillId="5" borderId="7" xfId="1" applyNumberFormat="1" applyFont="1" applyFill="1" applyBorder="1" applyAlignment="1">
      <alignment horizontal="center" vertical="center"/>
    </xf>
    <xf numFmtId="0" fontId="11" fillId="5" borderId="5" xfId="1" applyFont="1" applyFill="1" applyBorder="1" applyAlignment="1">
      <alignment horizontal="center" vertical="center"/>
    </xf>
    <xf numFmtId="0" fontId="11" fillId="5" borderId="6" xfId="1" applyFont="1" applyFill="1" applyBorder="1" applyAlignment="1">
      <alignment horizontal="center" vertical="center"/>
    </xf>
    <xf numFmtId="0" fontId="5" fillId="8" borderId="0" xfId="2" applyBorder="1" applyAlignment="1">
      <alignment horizontal="center"/>
    </xf>
    <xf numFmtId="0" fontId="2" fillId="0" borderId="0" xfId="0" applyFont="1" applyAlignment="1">
      <alignment horizontal="center"/>
    </xf>
    <xf numFmtId="0" fontId="23" fillId="0" borderId="0" xfId="0" applyFont="1"/>
    <xf numFmtId="49" fontId="1" fillId="0" borderId="22" xfId="1" applyNumberFormat="1" applyFill="1" applyBorder="1" applyAlignment="1">
      <alignment horizontal="center" vertical="center"/>
    </xf>
    <xf numFmtId="49" fontId="12" fillId="0" borderId="22" xfId="1" applyNumberFormat="1" applyFont="1" applyFill="1" applyBorder="1" applyAlignment="1">
      <alignment horizontal="center" vertical="center"/>
    </xf>
    <xf numFmtId="49" fontId="1" fillId="0" borderId="23" xfId="1" applyNumberFormat="1" applyFill="1" applyBorder="1" applyAlignment="1">
      <alignment horizontal="center" vertical="center"/>
    </xf>
    <xf numFmtId="49" fontId="1" fillId="0" borderId="23" xfId="1" applyNumberFormat="1" applyFill="1" applyBorder="1" applyAlignment="1">
      <alignment horizontal="center" vertical="center" wrapText="1"/>
    </xf>
    <xf numFmtId="49" fontId="1" fillId="0" borderId="23" xfId="1" applyNumberFormat="1" applyFill="1" applyBorder="1" applyAlignment="1">
      <alignment horizontal="left" vertical="center"/>
    </xf>
    <xf numFmtId="0" fontId="0" fillId="0" borderId="0" xfId="0" applyAlignment="1">
      <alignment horizontal="center" vertical="center"/>
    </xf>
    <xf numFmtId="49" fontId="12" fillId="0" borderId="23" xfId="1" applyNumberFormat="1" applyFont="1" applyFill="1" applyBorder="1" applyAlignment="1">
      <alignment horizontal="center" vertical="center"/>
    </xf>
    <xf numFmtId="0" fontId="0" fillId="0" borderId="21" xfId="0" applyBorder="1"/>
    <xf numFmtId="49" fontId="14" fillId="17" borderId="1" xfId="1" applyNumberFormat="1" applyFont="1" applyFill="1" applyAlignment="1">
      <alignment horizontal="left" vertical="center"/>
    </xf>
    <xf numFmtId="49" fontId="12" fillId="17" borderId="1" xfId="1" applyNumberFormat="1" applyFont="1" applyFill="1" applyAlignment="1">
      <alignment horizontal="center" vertical="center"/>
    </xf>
    <xf numFmtId="49" fontId="14" fillId="17" borderId="1" xfId="1" applyNumberFormat="1" applyFont="1" applyFill="1" applyAlignment="1">
      <alignment horizontal="center" vertical="center"/>
    </xf>
    <xf numFmtId="0" fontId="0" fillId="17" borderId="0" xfId="0" applyFill="1" applyAlignment="1">
      <alignment horizontal="center" vertical="center"/>
    </xf>
    <xf numFmtId="49" fontId="12" fillId="17" borderId="23" xfId="1" applyNumberFormat="1" applyFont="1" applyFill="1" applyBorder="1" applyAlignment="1">
      <alignment horizontal="center" vertical="center"/>
    </xf>
    <xf numFmtId="0" fontId="0" fillId="18" borderId="0" xfId="0" applyFill="1"/>
    <xf numFmtId="49" fontId="14" fillId="18" borderId="1" xfId="1" applyNumberFormat="1" applyFont="1" applyFill="1" applyAlignment="1">
      <alignment horizontal="left" vertical="center"/>
    </xf>
    <xf numFmtId="49" fontId="12" fillId="18" borderId="1" xfId="1" applyNumberFormat="1" applyFont="1" applyFill="1" applyAlignment="1">
      <alignment horizontal="center" vertical="center"/>
    </xf>
    <xf numFmtId="49" fontId="14" fillId="18" borderId="1" xfId="1" applyNumberFormat="1" applyFont="1" applyFill="1" applyAlignment="1">
      <alignment horizontal="center" vertical="center"/>
    </xf>
    <xf numFmtId="0" fontId="0" fillId="18" borderId="0" xfId="0" applyFill="1" applyAlignment="1">
      <alignment horizontal="center" vertical="center"/>
    </xf>
    <xf numFmtId="49" fontId="12" fillId="18" borderId="23" xfId="1" applyNumberFormat="1" applyFont="1" applyFill="1" applyBorder="1" applyAlignment="1">
      <alignment horizontal="center" vertical="center"/>
    </xf>
    <xf numFmtId="49" fontId="1" fillId="0" borderId="1" xfId="1" applyNumberFormat="1" applyFill="1" applyAlignment="1">
      <alignment horizontal="center" vertical="center" wrapText="1"/>
    </xf>
    <xf numFmtId="0" fontId="0" fillId="19" borderId="21" xfId="0" applyFill="1" applyBorder="1" applyAlignment="1">
      <alignment vertical="center"/>
    </xf>
    <xf numFmtId="0" fontId="0" fillId="19" borderId="21" xfId="0" applyFill="1" applyBorder="1" applyAlignment="1">
      <alignment vertical="center" wrapText="1"/>
    </xf>
    <xf numFmtId="0" fontId="0" fillId="19" borderId="0" xfId="0" applyFill="1" applyAlignment="1">
      <alignment vertical="center"/>
    </xf>
    <xf numFmtId="0" fontId="0" fillId="19" borderId="21" xfId="0" applyFill="1" applyBorder="1"/>
    <xf numFmtId="49" fontId="2" fillId="19" borderId="21" xfId="1" applyNumberFormat="1" applyFont="1" applyFill="1" applyBorder="1" applyAlignment="1">
      <alignment horizontal="left" vertical="center"/>
    </xf>
    <xf numFmtId="49" fontId="2" fillId="19" borderId="21" xfId="1" applyNumberFormat="1" applyFont="1" applyFill="1" applyBorder="1" applyAlignment="1">
      <alignment horizontal="center" vertical="center"/>
    </xf>
    <xf numFmtId="0" fontId="2" fillId="19" borderId="21" xfId="1" applyFont="1" applyFill="1" applyBorder="1" applyAlignment="1">
      <alignment horizontal="center" vertical="center"/>
    </xf>
    <xf numFmtId="0" fontId="0" fillId="19" borderId="0" xfId="0" applyFill="1"/>
    <xf numFmtId="0" fontId="0" fillId="6" borderId="21" xfId="0" applyFill="1" applyBorder="1"/>
    <xf numFmtId="49" fontId="2" fillId="19" borderId="21" xfId="1" applyNumberFormat="1" applyFont="1" applyFill="1" applyBorder="1" applyAlignment="1">
      <alignment horizontal="left"/>
    </xf>
    <xf numFmtId="49" fontId="2" fillId="19" borderId="21" xfId="1" applyNumberFormat="1" applyFont="1" applyFill="1" applyBorder="1" applyAlignment="1">
      <alignment horizontal="center"/>
    </xf>
    <xf numFmtId="0" fontId="0" fillId="9" borderId="21" xfId="0" applyFill="1" applyBorder="1"/>
    <xf numFmtId="0" fontId="0" fillId="20" borderId="21" xfId="0" applyFill="1" applyBorder="1"/>
    <xf numFmtId="0" fontId="1" fillId="0" borderId="21" xfId="1" applyFill="1" applyBorder="1" applyAlignment="1">
      <alignment horizontal="center" vertical="center"/>
    </xf>
    <xf numFmtId="0" fontId="0" fillId="0" borderId="0" xfId="0" quotePrefix="1" applyAlignment="1">
      <alignment vertical="center"/>
    </xf>
    <xf numFmtId="11" fontId="0" fillId="0" borderId="0" xfId="0" quotePrefix="1" applyNumberFormat="1"/>
    <xf numFmtId="0" fontId="0" fillId="0" borderId="0" xfId="0" quotePrefix="1"/>
    <xf numFmtId="0" fontId="24" fillId="0" borderId="0" xfId="0" applyFont="1"/>
    <xf numFmtId="0" fontId="25" fillId="0" borderId="0" xfId="0" applyFont="1" applyAlignment="1">
      <alignment vertical="center"/>
    </xf>
    <xf numFmtId="0" fontId="0" fillId="0" borderId="0" xfId="0" applyAlignment="1">
      <alignment horizontal="center"/>
    </xf>
    <xf numFmtId="0" fontId="0" fillId="0" borderId="0" xfId="0"/>
    <xf numFmtId="0" fontId="0" fillId="0" borderId="0" xfId="0" applyAlignment="1">
      <alignment horizontal="center"/>
    </xf>
    <xf numFmtId="0" fontId="0" fillId="11" borderId="10" xfId="5" applyFont="1" applyAlignment="1">
      <alignment horizontal="center"/>
    </xf>
    <xf numFmtId="0" fontId="0" fillId="0" borderId="24" xfId="0" applyBorder="1"/>
    <xf numFmtId="0" fontId="0" fillId="0" borderId="25" xfId="0" applyBorder="1"/>
    <xf numFmtId="0" fontId="18" fillId="12" borderId="26" xfId="0" applyFont="1" applyFill="1" applyBorder="1" applyAlignment="1">
      <alignment horizontal="center"/>
    </xf>
    <xf numFmtId="0" fontId="0" fillId="0" borderId="12" xfId="0" applyBorder="1"/>
    <xf numFmtId="0" fontId="18" fillId="12" borderId="11" xfId="0" applyFont="1" applyFill="1" applyBorder="1" applyAlignment="1">
      <alignment horizontal="center"/>
    </xf>
    <xf numFmtId="0" fontId="0" fillId="0" borderId="11" xfId="0" applyBorder="1"/>
    <xf numFmtId="0" fontId="0" fillId="0" borderId="0" xfId="0"/>
    <xf numFmtId="0" fontId="14" fillId="9" borderId="4" xfId="0" applyFont="1" applyFill="1" applyBorder="1" applyAlignment="1">
      <alignment horizontal="center" wrapText="1"/>
    </xf>
    <xf numFmtId="49" fontId="0" fillId="0" borderId="0" xfId="0" applyNumberFormat="1" applyAlignment="1">
      <alignment horizontal="left"/>
    </xf>
    <xf numFmtId="0" fontId="0" fillId="0" borderId="4" xfId="0" applyBorder="1"/>
    <xf numFmtId="0" fontId="0" fillId="4" borderId="4" xfId="0" applyFill="1" applyBorder="1" applyAlignment="1">
      <alignment horizontal="center" vertical="center"/>
    </xf>
    <xf numFmtId="0" fontId="13" fillId="16" borderId="4" xfId="0" applyFont="1" applyFill="1" applyBorder="1" applyAlignment="1">
      <alignment horizontal="center" vertical="top" wrapText="1"/>
    </xf>
    <xf numFmtId="0" fontId="0" fillId="0" borderId="0" xfId="0" applyAlignment="1">
      <alignment horizontal="center" vertical="center"/>
    </xf>
    <xf numFmtId="0" fontId="16" fillId="2" borderId="28" xfId="4" applyBorder="1" applyAlignment="1">
      <alignment horizontal="center"/>
    </xf>
    <xf numFmtId="0" fontId="0" fillId="0" borderId="14" xfId="0" applyBorder="1"/>
    <xf numFmtId="0" fontId="0" fillId="0" borderId="15" xfId="0" applyBorder="1"/>
    <xf numFmtId="0" fontId="16" fillId="2" borderId="28" xfId="4" applyBorder="1" applyAlignment="1">
      <alignment horizontal="center" vertical="center" wrapText="1"/>
    </xf>
    <xf numFmtId="0" fontId="16" fillId="2" borderId="27" xfId="4" applyBorder="1" applyAlignment="1">
      <alignment horizontal="center" vertical="center" wrapText="1"/>
    </xf>
    <xf numFmtId="0" fontId="0" fillId="0" borderId="16" xfId="0" applyBorder="1"/>
    <xf numFmtId="0" fontId="0" fillId="0" borderId="17" xfId="0" applyBorder="1"/>
    <xf numFmtId="0" fontId="13" fillId="9" borderId="4" xfId="0" applyFont="1" applyFill="1" applyBorder="1" applyAlignment="1">
      <alignment horizontal="center" vertical="top" wrapText="1"/>
    </xf>
    <xf numFmtId="0" fontId="19" fillId="13" borderId="13" xfId="0" applyFont="1" applyFill="1" applyBorder="1" applyAlignment="1">
      <alignment horizontal="center" vertical="center"/>
    </xf>
    <xf numFmtId="0" fontId="19" fillId="13" borderId="16" xfId="0" applyFont="1" applyFill="1" applyBorder="1" applyAlignment="1">
      <alignment horizontal="center" vertical="center"/>
    </xf>
    <xf numFmtId="0" fontId="0" fillId="0" borderId="13" xfId="0" applyBorder="1"/>
    <xf numFmtId="0" fontId="0" fillId="0" borderId="0" xfId="0" applyAlignment="1">
      <alignment horizontal="center"/>
    </xf>
    <xf numFmtId="49" fontId="0" fillId="0" borderId="0" xfId="0" applyNumberFormat="1" applyAlignment="1">
      <alignment horizontal="center"/>
    </xf>
    <xf numFmtId="0" fontId="0" fillId="0" borderId="4" xfId="0" applyBorder="1" applyAlignment="1">
      <alignment horizontal="center"/>
    </xf>
    <xf numFmtId="49" fontId="0" fillId="0" borderId="0" xfId="0" applyNumberFormat="1" applyAlignment="1">
      <alignment horizontal="center"/>
    </xf>
  </cellXfs>
  <cellStyles count="7">
    <cellStyle name="Accent5" xfId="6" builtinId="45"/>
    <cellStyle name="Calculation" xfId="4" builtinId="22"/>
    <cellStyle name="Check Cell" xfId="2" builtinId="23"/>
    <cellStyle name="Normal" xfId="0" builtinId="0"/>
    <cellStyle name="Note" xfId="5" builtinId="10"/>
    <cellStyle name="Output" xfId="1" builtinId="21"/>
    <cellStyle name="Total" xfId="3" builtinId="2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3.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7</xdr:col>
      <xdr:colOff>1847850</xdr:colOff>
      <xdr:row>0</xdr:row>
      <xdr:rowOff>106680</xdr:rowOff>
    </xdr:from>
    <xdr:to>
      <xdr:col>9</xdr:col>
      <xdr:colOff>533400</xdr:colOff>
      <xdr:row>1</xdr:row>
      <xdr:rowOff>190500</xdr:rowOff>
    </xdr:to>
    <xdr:pic>
      <xdr:nvPicPr>
        <xdr:cNvPr id="11266" name="Prepare_Sensing"/>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024860" y="106680"/>
          <a:ext cx="2800350" cy="4724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W:\vpp_programmer\vpp_generator\xlsx\VPP_TEMPLATE_V2_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W:\vpp_programmer\xlsx2VppVar\src\VPP_TEMPLATE_V2_1.xlsm.merge-right.r66012"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W:\vpp_programmer\vpp_generator\xlsx\VPP_DEMO_HYU_STAN_2019.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W:\vpp_programmer\xlsx2VppVar\src\VPP_TEMPLATE_V2_1.xlsm.merge-left.r64522"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sheetName val="Summary"/>
      <sheetName val="Feature Support"/>
      <sheetName val="Basic Sensings"/>
      <sheetName val="DATA Misc"/>
      <sheetName val="Module enable"/>
      <sheetName val="Functions"/>
      <sheetName val="Functions CMDs"/>
      <sheetName val="Remote Start"/>
      <sheetName val="Sense Group"/>
      <sheetName val="formulas_data tables"/>
    </sheetNames>
    <sheetDataSet>
      <sheetData sheetId="0"/>
      <sheetData sheetId="1">
        <row r="2">
          <cell r="A2">
            <v>2019</v>
          </cell>
          <cell r="B2" t="str">
            <v>HONDA PUSH2START GAZ</v>
          </cell>
          <cell r="C2" t="str">
            <v>ACCORD 4DOOR SEDAN</v>
          </cell>
          <cell r="D2" t="str">
            <v>Auto</v>
          </cell>
          <cell r="E2" t="str">
            <v>Key</v>
          </cell>
        </row>
      </sheetData>
      <sheetData sheetId="2"/>
      <sheetData sheetId="3"/>
      <sheetData sheetId="4"/>
      <sheetData sheetId="5"/>
      <sheetData sheetId="6"/>
      <sheetData sheetId="7"/>
      <sheetData sheetId="8"/>
      <sheetData sheetId="9"/>
      <sheetData sheetId="10">
        <row r="2">
          <cell r="D2" t="str">
            <v>N/A</v>
          </cell>
          <cell r="G2" t="str">
            <v>N/A</v>
          </cell>
          <cell r="I2">
            <v>1980</v>
          </cell>
          <cell r="J2" t="str">
            <v>CAN1</v>
          </cell>
          <cell r="K2">
            <v>2019</v>
          </cell>
          <cell r="L2" t="str">
            <v>Digital</v>
          </cell>
          <cell r="N2" t="str">
            <v>ACTIVE</v>
          </cell>
          <cell r="O2" t="str">
            <v>N/A</v>
          </cell>
          <cell r="P2" t="str">
            <v>Dual Wire</v>
          </cell>
        </row>
        <row r="3">
          <cell r="C3" t="str">
            <v>PTS</v>
          </cell>
          <cell r="D3">
            <v>20000</v>
          </cell>
          <cell r="E3" t="str">
            <v>KM</v>
          </cell>
          <cell r="G3" t="str">
            <v>YES</v>
          </cell>
          <cell r="I3">
            <v>1981</v>
          </cell>
          <cell r="J3" t="str">
            <v>CAN2</v>
          </cell>
          <cell r="L3" t="str">
            <v>Analog</v>
          </cell>
          <cell r="N3" t="str">
            <v>NOT ACTIVE</v>
          </cell>
          <cell r="O3" t="str">
            <v>Negative</v>
          </cell>
          <cell r="P3" t="str">
            <v>Single Wire</v>
          </cell>
        </row>
        <row r="4">
          <cell r="C4" t="str">
            <v>Key</v>
          </cell>
          <cell r="D4">
            <v>33333</v>
          </cell>
          <cell r="E4" t="str">
            <v>KM/H</v>
          </cell>
          <cell r="G4" t="str">
            <v>NO</v>
          </cell>
          <cell r="I4">
            <v>1982</v>
          </cell>
          <cell r="J4" t="str">
            <v>N/A</v>
          </cell>
          <cell r="L4" t="str">
            <v>State encoded</v>
          </cell>
          <cell r="O4" t="str">
            <v>Positive</v>
          </cell>
        </row>
        <row r="5">
          <cell r="D5">
            <v>50000</v>
          </cell>
          <cell r="E5" t="str">
            <v>Ω</v>
          </cell>
          <cell r="I5">
            <v>1983</v>
          </cell>
          <cell r="O5" t="str">
            <v>Mux</v>
          </cell>
        </row>
        <row r="6">
          <cell r="D6">
            <v>62500</v>
          </cell>
          <cell r="E6" t="str">
            <v>°C</v>
          </cell>
          <cell r="I6">
            <v>1984</v>
          </cell>
        </row>
        <row r="7">
          <cell r="D7">
            <v>83333</v>
          </cell>
          <cell r="E7" t="str">
            <v>%</v>
          </cell>
          <cell r="I7">
            <v>1985</v>
          </cell>
        </row>
        <row r="8">
          <cell r="D8">
            <v>100000</v>
          </cell>
          <cell r="E8" t="str">
            <v>rpm</v>
          </cell>
          <cell r="I8">
            <v>1986</v>
          </cell>
        </row>
        <row r="9">
          <cell r="D9">
            <v>125000</v>
          </cell>
          <cell r="E9" t="str">
            <v>grams/sec</v>
          </cell>
          <cell r="I9">
            <v>1987</v>
          </cell>
        </row>
        <row r="10">
          <cell r="D10">
            <v>250000</v>
          </cell>
          <cell r="E10" t="str">
            <v>kPa</v>
          </cell>
          <cell r="I10">
            <v>1988</v>
          </cell>
        </row>
        <row r="11">
          <cell r="D11">
            <v>500000</v>
          </cell>
          <cell r="E11" t="str">
            <v>Volts</v>
          </cell>
          <cell r="I11">
            <v>1989</v>
          </cell>
        </row>
        <row r="12">
          <cell r="D12">
            <v>800000</v>
          </cell>
          <cell r="E12" t="str">
            <v>Volts %</v>
          </cell>
          <cell r="I12">
            <v>1990</v>
          </cell>
        </row>
        <row r="13">
          <cell r="D13">
            <v>1000000</v>
          </cell>
          <cell r="E13" t="str">
            <v>seconds</v>
          </cell>
          <cell r="I13">
            <v>1991</v>
          </cell>
        </row>
        <row r="14">
          <cell r="E14" t="str">
            <v>Pa</v>
          </cell>
          <cell r="I14">
            <v>1992</v>
          </cell>
        </row>
        <row r="15">
          <cell r="E15" t="str">
            <v>A</v>
          </cell>
          <cell r="I15">
            <v>1993</v>
          </cell>
        </row>
        <row r="16">
          <cell r="E16" t="str">
            <v>mA</v>
          </cell>
          <cell r="I16">
            <v>1994</v>
          </cell>
        </row>
        <row r="17">
          <cell r="E17" t="str">
            <v>L</v>
          </cell>
          <cell r="I17">
            <v>1995</v>
          </cell>
        </row>
        <row r="18">
          <cell r="E18" t="str">
            <v>L/h</v>
          </cell>
          <cell r="I18">
            <v>1996</v>
          </cell>
        </row>
        <row r="19">
          <cell r="E19" t="str">
            <v>Nm</v>
          </cell>
          <cell r="I19">
            <v>1997</v>
          </cell>
        </row>
        <row r="20">
          <cell r="I20">
            <v>1998</v>
          </cell>
        </row>
        <row r="21">
          <cell r="I21">
            <v>1999</v>
          </cell>
        </row>
        <row r="22">
          <cell r="I22">
            <v>2000</v>
          </cell>
        </row>
        <row r="23">
          <cell r="I23">
            <v>2001</v>
          </cell>
        </row>
        <row r="24">
          <cell r="I24">
            <v>2002</v>
          </cell>
        </row>
        <row r="25">
          <cell r="I25">
            <v>2003</v>
          </cell>
        </row>
        <row r="26">
          <cell r="I26">
            <v>2004</v>
          </cell>
        </row>
        <row r="27">
          <cell r="I27">
            <v>2005</v>
          </cell>
        </row>
        <row r="28">
          <cell r="I28">
            <v>2006</v>
          </cell>
        </row>
        <row r="29">
          <cell r="I29">
            <v>2007</v>
          </cell>
        </row>
        <row r="30">
          <cell r="I30">
            <v>2008</v>
          </cell>
        </row>
        <row r="31">
          <cell r="I31">
            <v>2009</v>
          </cell>
        </row>
        <row r="32">
          <cell r="I32">
            <v>2010</v>
          </cell>
        </row>
        <row r="33">
          <cell r="I33">
            <v>2011</v>
          </cell>
        </row>
        <row r="34">
          <cell r="I34">
            <v>2012</v>
          </cell>
        </row>
        <row r="35">
          <cell r="I35">
            <v>2013</v>
          </cell>
        </row>
        <row r="36">
          <cell r="I36">
            <v>2014</v>
          </cell>
        </row>
        <row r="37">
          <cell r="I37">
            <v>2015</v>
          </cell>
        </row>
        <row r="38">
          <cell r="I38">
            <v>2016</v>
          </cell>
        </row>
        <row r="39">
          <cell r="I39">
            <v>2017</v>
          </cell>
        </row>
        <row r="40">
          <cell r="I40">
            <v>2018</v>
          </cell>
        </row>
        <row r="41">
          <cell r="I41">
            <v>2019</v>
          </cell>
        </row>
        <row r="42">
          <cell r="I42">
            <v>2020</v>
          </cell>
        </row>
        <row r="43">
          <cell r="I43">
            <v>2021</v>
          </cell>
        </row>
        <row r="44">
          <cell r="I44">
            <v>2022</v>
          </cell>
        </row>
        <row r="45">
          <cell r="I45">
            <v>2023</v>
          </cell>
        </row>
        <row r="46">
          <cell r="I46">
            <v>2024</v>
          </cell>
        </row>
        <row r="47">
          <cell r="I47">
            <v>2025</v>
          </cell>
        </row>
        <row r="48">
          <cell r="I48">
            <v>2026</v>
          </cell>
        </row>
        <row r="49">
          <cell r="I49">
            <v>2027</v>
          </cell>
        </row>
        <row r="50">
          <cell r="I50">
            <v>2028</v>
          </cell>
        </row>
        <row r="51">
          <cell r="I51">
            <v>2029</v>
          </cell>
        </row>
        <row r="52">
          <cell r="I52">
            <v>2030</v>
          </cell>
        </row>
        <row r="53">
          <cell r="I53">
            <v>2031</v>
          </cell>
        </row>
        <row r="54">
          <cell r="I54">
            <v>2032</v>
          </cell>
        </row>
        <row r="55">
          <cell r="I55">
            <v>2033</v>
          </cell>
        </row>
        <row r="56">
          <cell r="I56">
            <v>2034</v>
          </cell>
        </row>
        <row r="57">
          <cell r="I57">
            <v>2035</v>
          </cell>
        </row>
        <row r="58">
          <cell r="I58">
            <v>2036</v>
          </cell>
        </row>
        <row r="59">
          <cell r="I59">
            <v>2037</v>
          </cell>
        </row>
        <row r="60">
          <cell r="I60">
            <v>2038</v>
          </cell>
        </row>
        <row r="61">
          <cell r="I61">
            <v>2039</v>
          </cell>
        </row>
        <row r="62">
          <cell r="I62">
            <v>2040</v>
          </cell>
        </row>
        <row r="63">
          <cell r="I63">
            <v>2041</v>
          </cell>
        </row>
        <row r="64">
          <cell r="I64">
            <v>2042</v>
          </cell>
        </row>
        <row r="65">
          <cell r="I65">
            <v>2043</v>
          </cell>
        </row>
        <row r="66">
          <cell r="I66">
            <v>2044</v>
          </cell>
        </row>
        <row r="67">
          <cell r="I67">
            <v>2045</v>
          </cell>
        </row>
        <row r="68">
          <cell r="I68">
            <v>2046</v>
          </cell>
        </row>
        <row r="69">
          <cell r="I69">
            <v>2047</v>
          </cell>
        </row>
        <row r="70">
          <cell r="I70">
            <v>2048</v>
          </cell>
        </row>
        <row r="71">
          <cell r="I71">
            <v>2049</v>
          </cell>
        </row>
        <row r="72">
          <cell r="I72">
            <v>2050</v>
          </cell>
        </row>
        <row r="73">
          <cell r="I73">
            <v>2051</v>
          </cell>
        </row>
        <row r="74">
          <cell r="I74">
            <v>2052</v>
          </cell>
        </row>
        <row r="75">
          <cell r="I75">
            <v>2053</v>
          </cell>
        </row>
        <row r="76">
          <cell r="I76">
            <v>2054</v>
          </cell>
        </row>
        <row r="77">
          <cell r="I77">
            <v>2055</v>
          </cell>
        </row>
        <row r="78">
          <cell r="I78">
            <v>2056</v>
          </cell>
        </row>
        <row r="79">
          <cell r="I79">
            <v>2057</v>
          </cell>
        </row>
        <row r="80">
          <cell r="I80">
            <v>2058</v>
          </cell>
        </row>
        <row r="81">
          <cell r="I81">
            <v>2059</v>
          </cell>
        </row>
        <row r="82">
          <cell r="I82">
            <v>2060</v>
          </cell>
        </row>
        <row r="83">
          <cell r="I83">
            <v>2061</v>
          </cell>
        </row>
        <row r="84">
          <cell r="I84">
            <v>2062</v>
          </cell>
        </row>
        <row r="85">
          <cell r="I85">
            <v>2063</v>
          </cell>
        </row>
        <row r="86">
          <cell r="I86">
            <v>2064</v>
          </cell>
        </row>
        <row r="87">
          <cell r="I87">
            <v>2065</v>
          </cell>
        </row>
        <row r="88">
          <cell r="I88">
            <v>2066</v>
          </cell>
        </row>
        <row r="89">
          <cell r="I89">
            <v>2067</v>
          </cell>
        </row>
        <row r="90">
          <cell r="I90">
            <v>2068</v>
          </cell>
        </row>
        <row r="91">
          <cell r="I91">
            <v>2069</v>
          </cell>
        </row>
        <row r="92">
          <cell r="I92">
            <v>2070</v>
          </cell>
        </row>
        <row r="93">
          <cell r="I93">
            <v>2071</v>
          </cell>
        </row>
        <row r="94">
          <cell r="I94">
            <v>2072</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Feature Support"/>
      <sheetName val="Basic Sensings"/>
      <sheetName val="DATA Misc"/>
      <sheetName val="Module enable"/>
      <sheetName val="Functions"/>
      <sheetName val="Functions CMDs"/>
      <sheetName val="Remote Start"/>
      <sheetName val="SensingDataBase"/>
      <sheetName val="formulas_data tables"/>
      <sheetName val="Input"/>
      <sheetName val="OBDII"/>
      <sheetName val="Watchdog"/>
    </sheetNames>
    <sheetDataSet>
      <sheetData sheetId="0">
        <row r="2">
          <cell r="A2">
            <v>2019</v>
          </cell>
          <cell r="B2" t="str">
            <v>HONDA PUSH2START GAZ</v>
          </cell>
          <cell r="C2" t="str">
            <v>ACCORD 4DOOR SEDAN</v>
          </cell>
          <cell r="D2" t="str">
            <v>Auto</v>
          </cell>
          <cell r="E2" t="str">
            <v>Key</v>
          </cell>
        </row>
      </sheetData>
      <sheetData sheetId="1" refreshError="1"/>
      <sheetData sheetId="2" refreshError="1"/>
      <sheetData sheetId="3" refreshError="1"/>
      <sheetData sheetId="4" refreshError="1"/>
      <sheetData sheetId="5" refreshError="1"/>
      <sheetData sheetId="6" refreshError="1"/>
      <sheetData sheetId="7" refreshError="1"/>
      <sheetData sheetId="8"/>
      <sheetData sheetId="9">
        <row r="2">
          <cell r="D2" t="str">
            <v>N/A</v>
          </cell>
          <cell r="G2" t="str">
            <v>N/A</v>
          </cell>
          <cell r="I2">
            <v>1980</v>
          </cell>
          <cell r="J2" t="str">
            <v>CAN1</v>
          </cell>
          <cell r="K2">
            <v>2019</v>
          </cell>
          <cell r="L2" t="str">
            <v>Digital</v>
          </cell>
          <cell r="N2" t="str">
            <v>ACTIVE</v>
          </cell>
          <cell r="O2" t="str">
            <v>N/A</v>
          </cell>
          <cell r="P2" t="str">
            <v>Dual Wire</v>
          </cell>
        </row>
        <row r="3">
          <cell r="C3" t="str">
            <v>PTS</v>
          </cell>
          <cell r="D3">
            <v>20000</v>
          </cell>
          <cell r="E3" t="str">
            <v>KM</v>
          </cell>
          <cell r="G3" t="str">
            <v>YES</v>
          </cell>
          <cell r="I3">
            <v>1981</v>
          </cell>
          <cell r="J3" t="str">
            <v>CAN2</v>
          </cell>
          <cell r="L3" t="str">
            <v>Analog</v>
          </cell>
          <cell r="N3" t="str">
            <v>NOT ACTIVE</v>
          </cell>
          <cell r="O3" t="str">
            <v>Negative</v>
          </cell>
          <cell r="P3" t="str">
            <v>Single Wire</v>
          </cell>
        </row>
        <row r="4">
          <cell r="C4" t="str">
            <v>Key</v>
          </cell>
          <cell r="D4">
            <v>33333</v>
          </cell>
          <cell r="E4" t="str">
            <v>KM/H</v>
          </cell>
          <cell r="G4" t="str">
            <v>NO</v>
          </cell>
          <cell r="I4">
            <v>1982</v>
          </cell>
          <cell r="J4" t="str">
            <v>N/A</v>
          </cell>
          <cell r="L4" t="str">
            <v>State encoded</v>
          </cell>
          <cell r="O4" t="str">
            <v>Positive</v>
          </cell>
        </row>
        <row r="5">
          <cell r="D5">
            <v>50000</v>
          </cell>
          <cell r="E5" t="str">
            <v>Ω</v>
          </cell>
          <cell r="I5">
            <v>1983</v>
          </cell>
          <cell r="O5" t="str">
            <v>Mux</v>
          </cell>
        </row>
        <row r="6">
          <cell r="D6">
            <v>62500</v>
          </cell>
          <cell r="E6" t="str">
            <v>°C</v>
          </cell>
          <cell r="I6">
            <v>1984</v>
          </cell>
        </row>
        <row r="7">
          <cell r="D7">
            <v>83333</v>
          </cell>
          <cell r="E7" t="str">
            <v>%</v>
          </cell>
          <cell r="I7">
            <v>1985</v>
          </cell>
        </row>
        <row r="8">
          <cell r="D8">
            <v>100000</v>
          </cell>
          <cell r="E8" t="str">
            <v>rpm</v>
          </cell>
          <cell r="I8">
            <v>1986</v>
          </cell>
        </row>
        <row r="9">
          <cell r="D9">
            <v>125000</v>
          </cell>
          <cell r="E9" t="str">
            <v>grams/sec</v>
          </cell>
          <cell r="I9">
            <v>1987</v>
          </cell>
        </row>
        <row r="10">
          <cell r="D10">
            <v>250000</v>
          </cell>
          <cell r="E10" t="str">
            <v>kPa</v>
          </cell>
          <cell r="I10">
            <v>1988</v>
          </cell>
        </row>
        <row r="11">
          <cell r="D11">
            <v>500000</v>
          </cell>
          <cell r="E11" t="str">
            <v>Volts</v>
          </cell>
          <cell r="I11">
            <v>1989</v>
          </cell>
        </row>
        <row r="12">
          <cell r="D12">
            <v>800000</v>
          </cell>
          <cell r="E12" t="str">
            <v>Volts %</v>
          </cell>
          <cell r="I12">
            <v>1990</v>
          </cell>
        </row>
        <row r="13">
          <cell r="D13">
            <v>1000000</v>
          </cell>
          <cell r="E13" t="str">
            <v>seconds</v>
          </cell>
          <cell r="I13">
            <v>1991</v>
          </cell>
        </row>
        <row r="14">
          <cell r="E14" t="str">
            <v>Pa</v>
          </cell>
          <cell r="I14">
            <v>1992</v>
          </cell>
        </row>
        <row r="15">
          <cell r="E15" t="str">
            <v>A</v>
          </cell>
          <cell r="I15">
            <v>1993</v>
          </cell>
        </row>
        <row r="16">
          <cell r="E16" t="str">
            <v>mA</v>
          </cell>
          <cell r="I16">
            <v>1994</v>
          </cell>
        </row>
        <row r="17">
          <cell r="E17" t="str">
            <v>L</v>
          </cell>
          <cell r="I17">
            <v>1995</v>
          </cell>
        </row>
        <row r="18">
          <cell r="E18" t="str">
            <v>L/h</v>
          </cell>
          <cell r="I18">
            <v>1996</v>
          </cell>
        </row>
        <row r="19">
          <cell r="E19" t="str">
            <v>Nm</v>
          </cell>
          <cell r="I19">
            <v>1997</v>
          </cell>
        </row>
        <row r="20">
          <cell r="I20">
            <v>1998</v>
          </cell>
        </row>
        <row r="21">
          <cell r="I21">
            <v>1999</v>
          </cell>
        </row>
        <row r="22">
          <cell r="I22">
            <v>2000</v>
          </cell>
        </row>
        <row r="23">
          <cell r="I23">
            <v>2001</v>
          </cell>
        </row>
        <row r="24">
          <cell r="I24">
            <v>2002</v>
          </cell>
        </row>
        <row r="25">
          <cell r="I25">
            <v>2003</v>
          </cell>
        </row>
        <row r="26">
          <cell r="I26">
            <v>2004</v>
          </cell>
        </row>
        <row r="27">
          <cell r="I27">
            <v>2005</v>
          </cell>
        </row>
        <row r="28">
          <cell r="I28">
            <v>2006</v>
          </cell>
        </row>
        <row r="29">
          <cell r="I29">
            <v>2007</v>
          </cell>
        </row>
        <row r="30">
          <cell r="I30">
            <v>2008</v>
          </cell>
        </row>
        <row r="31">
          <cell r="I31">
            <v>2009</v>
          </cell>
        </row>
        <row r="32">
          <cell r="I32">
            <v>2010</v>
          </cell>
        </row>
        <row r="33">
          <cell r="I33">
            <v>2011</v>
          </cell>
        </row>
        <row r="34">
          <cell r="I34">
            <v>2012</v>
          </cell>
        </row>
        <row r="35">
          <cell r="I35">
            <v>2013</v>
          </cell>
        </row>
        <row r="36">
          <cell r="I36">
            <v>2014</v>
          </cell>
        </row>
        <row r="37">
          <cell r="I37">
            <v>2015</v>
          </cell>
        </row>
        <row r="38">
          <cell r="I38">
            <v>2016</v>
          </cell>
        </row>
        <row r="39">
          <cell r="I39">
            <v>2017</v>
          </cell>
        </row>
        <row r="40">
          <cell r="I40">
            <v>2018</v>
          </cell>
        </row>
        <row r="41">
          <cell r="I41">
            <v>2019</v>
          </cell>
        </row>
        <row r="42">
          <cell r="I42">
            <v>2020</v>
          </cell>
        </row>
        <row r="43">
          <cell r="I43">
            <v>2021</v>
          </cell>
        </row>
        <row r="44">
          <cell r="I44">
            <v>2022</v>
          </cell>
        </row>
        <row r="45">
          <cell r="I45">
            <v>2023</v>
          </cell>
        </row>
        <row r="46">
          <cell r="I46">
            <v>2024</v>
          </cell>
        </row>
        <row r="47">
          <cell r="I47">
            <v>2025</v>
          </cell>
        </row>
        <row r="48">
          <cell r="I48">
            <v>2026</v>
          </cell>
        </row>
        <row r="49">
          <cell r="I49">
            <v>2027</v>
          </cell>
        </row>
        <row r="50">
          <cell r="I50">
            <v>2028</v>
          </cell>
        </row>
        <row r="51">
          <cell r="I51">
            <v>2029</v>
          </cell>
        </row>
        <row r="52">
          <cell r="I52">
            <v>2030</v>
          </cell>
        </row>
        <row r="53">
          <cell r="I53">
            <v>2031</v>
          </cell>
        </row>
        <row r="54">
          <cell r="I54">
            <v>2032</v>
          </cell>
        </row>
        <row r="55">
          <cell r="I55">
            <v>2033</v>
          </cell>
        </row>
        <row r="56">
          <cell r="I56">
            <v>2034</v>
          </cell>
        </row>
        <row r="57">
          <cell r="I57">
            <v>2035</v>
          </cell>
        </row>
        <row r="58">
          <cell r="I58">
            <v>2036</v>
          </cell>
        </row>
        <row r="59">
          <cell r="I59">
            <v>2037</v>
          </cell>
        </row>
        <row r="60">
          <cell r="I60">
            <v>2038</v>
          </cell>
        </row>
        <row r="61">
          <cell r="I61">
            <v>2039</v>
          </cell>
        </row>
        <row r="62">
          <cell r="I62">
            <v>2040</v>
          </cell>
        </row>
        <row r="63">
          <cell r="I63">
            <v>2041</v>
          </cell>
        </row>
        <row r="64">
          <cell r="I64">
            <v>2042</v>
          </cell>
        </row>
        <row r="65">
          <cell r="I65">
            <v>2043</v>
          </cell>
        </row>
        <row r="66">
          <cell r="I66">
            <v>2044</v>
          </cell>
        </row>
        <row r="67">
          <cell r="I67">
            <v>2045</v>
          </cell>
        </row>
        <row r="68">
          <cell r="I68">
            <v>2046</v>
          </cell>
        </row>
        <row r="69">
          <cell r="I69">
            <v>2047</v>
          </cell>
        </row>
        <row r="70">
          <cell r="I70">
            <v>2048</v>
          </cell>
        </row>
        <row r="71">
          <cell r="I71">
            <v>2049</v>
          </cell>
        </row>
        <row r="72">
          <cell r="I72">
            <v>2050</v>
          </cell>
        </row>
        <row r="73">
          <cell r="I73">
            <v>2051</v>
          </cell>
        </row>
        <row r="74">
          <cell r="I74">
            <v>2052</v>
          </cell>
        </row>
        <row r="75">
          <cell r="I75">
            <v>2053</v>
          </cell>
        </row>
        <row r="76">
          <cell r="I76">
            <v>2054</v>
          </cell>
        </row>
        <row r="77">
          <cell r="I77">
            <v>2055</v>
          </cell>
        </row>
        <row r="78">
          <cell r="I78">
            <v>2056</v>
          </cell>
        </row>
        <row r="79">
          <cell r="I79">
            <v>2057</v>
          </cell>
        </row>
        <row r="80">
          <cell r="I80">
            <v>2058</v>
          </cell>
        </row>
        <row r="81">
          <cell r="I81">
            <v>2059</v>
          </cell>
        </row>
        <row r="82">
          <cell r="I82">
            <v>2060</v>
          </cell>
        </row>
        <row r="83">
          <cell r="I83">
            <v>2061</v>
          </cell>
        </row>
        <row r="84">
          <cell r="I84">
            <v>2062</v>
          </cell>
        </row>
        <row r="85">
          <cell r="I85">
            <v>2063</v>
          </cell>
        </row>
        <row r="86">
          <cell r="I86">
            <v>2064</v>
          </cell>
        </row>
        <row r="87">
          <cell r="I87">
            <v>2065</v>
          </cell>
        </row>
        <row r="88">
          <cell r="I88">
            <v>2066</v>
          </cell>
        </row>
        <row r="89">
          <cell r="I89">
            <v>2067</v>
          </cell>
        </row>
        <row r="90">
          <cell r="I90">
            <v>2068</v>
          </cell>
        </row>
        <row r="91">
          <cell r="I91">
            <v>2069</v>
          </cell>
        </row>
        <row r="92">
          <cell r="I92">
            <v>2070</v>
          </cell>
        </row>
        <row r="93">
          <cell r="I93">
            <v>2071</v>
          </cell>
        </row>
        <row r="94">
          <cell r="I94">
            <v>2072</v>
          </cell>
        </row>
      </sheetData>
      <sheetData sheetId="10" refreshError="1"/>
      <sheetData sheetId="11" refreshError="1"/>
      <sheetData sheetId="1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Feature Support"/>
      <sheetName val="Basic Sensings"/>
      <sheetName val="DATA Misc"/>
      <sheetName val="Module enable"/>
      <sheetName val="Functions"/>
      <sheetName val="Functions CMDs"/>
      <sheetName val="Remote Start"/>
      <sheetName val="Sense Group"/>
      <sheetName val="formulas_data tables"/>
    </sheetNames>
    <sheetDataSet>
      <sheetData sheetId="0">
        <row r="2">
          <cell r="A2">
            <v>2019</v>
          </cell>
          <cell r="B2" t="str">
            <v>HYUNDAI</v>
          </cell>
          <cell r="C2" t="str">
            <v>SANTAFE</v>
          </cell>
          <cell r="D2" t="str">
            <v>Auto</v>
          </cell>
          <cell r="E2" t="str">
            <v>Key</v>
          </cell>
        </row>
      </sheetData>
      <sheetData sheetId="1"/>
      <sheetData sheetId="2"/>
      <sheetData sheetId="3"/>
      <sheetData sheetId="4"/>
      <sheetData sheetId="5"/>
      <sheetData sheetId="6"/>
      <sheetData sheetId="7"/>
      <sheetData sheetId="8"/>
      <sheetData sheetId="9">
        <row r="2">
          <cell r="D2" t="str">
            <v>N/A</v>
          </cell>
          <cell r="G2" t="str">
            <v>N/A</v>
          </cell>
          <cell r="I2">
            <v>1980</v>
          </cell>
          <cell r="J2" t="str">
            <v>CAN1</v>
          </cell>
          <cell r="K2">
            <v>2019</v>
          </cell>
          <cell r="L2" t="str">
            <v>Digital</v>
          </cell>
          <cell r="N2" t="str">
            <v>ACTIVE</v>
          </cell>
          <cell r="O2" t="str">
            <v>N/A</v>
          </cell>
          <cell r="P2" t="str">
            <v>Dual Wire</v>
          </cell>
        </row>
        <row r="3">
          <cell r="C3" t="str">
            <v>PTS</v>
          </cell>
          <cell r="D3">
            <v>20000</v>
          </cell>
          <cell r="E3" t="str">
            <v>KM</v>
          </cell>
          <cell r="G3" t="str">
            <v>YES</v>
          </cell>
          <cell r="I3">
            <v>1981</v>
          </cell>
          <cell r="J3" t="str">
            <v>CAN2</v>
          </cell>
          <cell r="L3" t="str">
            <v>Analog</v>
          </cell>
          <cell r="N3" t="str">
            <v>NOT ACTIVE</v>
          </cell>
          <cell r="O3" t="str">
            <v>Negative</v>
          </cell>
          <cell r="P3" t="str">
            <v>Single Wire</v>
          </cell>
        </row>
        <row r="4">
          <cell r="C4" t="str">
            <v>Key</v>
          </cell>
          <cell r="D4">
            <v>33333</v>
          </cell>
          <cell r="E4" t="str">
            <v>KM/H</v>
          </cell>
          <cell r="G4" t="str">
            <v>NO</v>
          </cell>
          <cell r="I4">
            <v>1982</v>
          </cell>
          <cell r="J4" t="str">
            <v>N/A</v>
          </cell>
          <cell r="L4" t="str">
            <v>State encoded</v>
          </cell>
          <cell r="O4" t="str">
            <v>Positive</v>
          </cell>
        </row>
        <row r="5">
          <cell r="D5">
            <v>50000</v>
          </cell>
          <cell r="E5" t="str">
            <v>Ω</v>
          </cell>
          <cell r="I5">
            <v>1983</v>
          </cell>
          <cell r="O5" t="str">
            <v>Mux</v>
          </cell>
        </row>
        <row r="6">
          <cell r="D6">
            <v>62500</v>
          </cell>
          <cell r="E6" t="str">
            <v>°C</v>
          </cell>
          <cell r="I6">
            <v>1984</v>
          </cell>
        </row>
        <row r="7">
          <cell r="D7">
            <v>83333</v>
          </cell>
          <cell r="E7" t="str">
            <v>%</v>
          </cell>
          <cell r="I7">
            <v>1985</v>
          </cell>
        </row>
        <row r="8">
          <cell r="D8">
            <v>100000</v>
          </cell>
          <cell r="E8" t="str">
            <v>rpm</v>
          </cell>
          <cell r="I8">
            <v>1986</v>
          </cell>
        </row>
        <row r="9">
          <cell r="D9">
            <v>125000</v>
          </cell>
          <cell r="E9" t="str">
            <v>grams/sec</v>
          </cell>
          <cell r="I9">
            <v>1987</v>
          </cell>
        </row>
        <row r="10">
          <cell r="D10">
            <v>250000</v>
          </cell>
          <cell r="E10" t="str">
            <v>kPa</v>
          </cell>
          <cell r="I10">
            <v>1988</v>
          </cell>
        </row>
        <row r="11">
          <cell r="D11">
            <v>500000</v>
          </cell>
          <cell r="E11" t="str">
            <v>Volts</v>
          </cell>
          <cell r="I11">
            <v>1989</v>
          </cell>
        </row>
        <row r="12">
          <cell r="D12">
            <v>800000</v>
          </cell>
          <cell r="E12" t="str">
            <v>Volts %</v>
          </cell>
          <cell r="I12">
            <v>1990</v>
          </cell>
        </row>
        <row r="13">
          <cell r="D13">
            <v>1000000</v>
          </cell>
          <cell r="E13" t="str">
            <v>seconds</v>
          </cell>
          <cell r="I13">
            <v>1991</v>
          </cell>
        </row>
        <row r="14">
          <cell r="E14" t="str">
            <v>Pa</v>
          </cell>
          <cell r="I14">
            <v>1992</v>
          </cell>
        </row>
        <row r="15">
          <cell r="E15" t="str">
            <v>A</v>
          </cell>
          <cell r="I15">
            <v>1993</v>
          </cell>
        </row>
        <row r="16">
          <cell r="E16" t="str">
            <v>mA</v>
          </cell>
          <cell r="I16">
            <v>1994</v>
          </cell>
        </row>
        <row r="17">
          <cell r="E17" t="str">
            <v>L</v>
          </cell>
          <cell r="I17">
            <v>1995</v>
          </cell>
        </row>
        <row r="18">
          <cell r="E18" t="str">
            <v>L/h</v>
          </cell>
          <cell r="I18">
            <v>1996</v>
          </cell>
        </row>
        <row r="19">
          <cell r="E19" t="str">
            <v>Nm</v>
          </cell>
          <cell r="I19">
            <v>1997</v>
          </cell>
        </row>
        <row r="20">
          <cell r="I20">
            <v>1998</v>
          </cell>
        </row>
        <row r="21">
          <cell r="I21">
            <v>1999</v>
          </cell>
        </row>
        <row r="22">
          <cell r="I22">
            <v>2000</v>
          </cell>
        </row>
        <row r="23">
          <cell r="I23">
            <v>2001</v>
          </cell>
        </row>
        <row r="24">
          <cell r="I24">
            <v>2002</v>
          </cell>
        </row>
        <row r="25">
          <cell r="I25">
            <v>2003</v>
          </cell>
        </row>
        <row r="26">
          <cell r="I26">
            <v>2004</v>
          </cell>
        </row>
        <row r="27">
          <cell r="I27">
            <v>2005</v>
          </cell>
        </row>
        <row r="28">
          <cell r="I28">
            <v>2006</v>
          </cell>
        </row>
        <row r="29">
          <cell r="I29">
            <v>2007</v>
          </cell>
        </row>
        <row r="30">
          <cell r="I30">
            <v>2008</v>
          </cell>
        </row>
        <row r="31">
          <cell r="I31">
            <v>2009</v>
          </cell>
        </row>
        <row r="32">
          <cell r="I32">
            <v>2010</v>
          </cell>
        </row>
        <row r="33">
          <cell r="I33">
            <v>2011</v>
          </cell>
        </row>
        <row r="34">
          <cell r="I34">
            <v>2012</v>
          </cell>
        </row>
        <row r="35">
          <cell r="I35">
            <v>2013</v>
          </cell>
        </row>
        <row r="36">
          <cell r="I36">
            <v>2014</v>
          </cell>
        </row>
        <row r="37">
          <cell r="I37">
            <v>2015</v>
          </cell>
        </row>
        <row r="38">
          <cell r="I38">
            <v>2016</v>
          </cell>
        </row>
        <row r="39">
          <cell r="I39">
            <v>2017</v>
          </cell>
        </row>
        <row r="40">
          <cell r="I40">
            <v>2018</v>
          </cell>
        </row>
        <row r="41">
          <cell r="I41">
            <v>2019</v>
          </cell>
        </row>
        <row r="42">
          <cell r="I42">
            <v>2020</v>
          </cell>
        </row>
        <row r="43">
          <cell r="I43">
            <v>2021</v>
          </cell>
        </row>
        <row r="44">
          <cell r="I44">
            <v>2022</v>
          </cell>
        </row>
        <row r="45">
          <cell r="I45">
            <v>2023</v>
          </cell>
        </row>
        <row r="46">
          <cell r="I46">
            <v>2024</v>
          </cell>
        </row>
        <row r="47">
          <cell r="I47">
            <v>2025</v>
          </cell>
        </row>
        <row r="48">
          <cell r="I48">
            <v>2026</v>
          </cell>
        </row>
        <row r="49">
          <cell r="I49">
            <v>2027</v>
          </cell>
        </row>
        <row r="50">
          <cell r="I50">
            <v>2028</v>
          </cell>
        </row>
        <row r="51">
          <cell r="I51">
            <v>2029</v>
          </cell>
        </row>
        <row r="52">
          <cell r="I52">
            <v>2030</v>
          </cell>
        </row>
        <row r="53">
          <cell r="I53">
            <v>2031</v>
          </cell>
        </row>
        <row r="54">
          <cell r="I54">
            <v>2032</v>
          </cell>
        </row>
        <row r="55">
          <cell r="I55">
            <v>2033</v>
          </cell>
        </row>
        <row r="56">
          <cell r="I56">
            <v>2034</v>
          </cell>
        </row>
        <row r="57">
          <cell r="I57">
            <v>2035</v>
          </cell>
        </row>
        <row r="58">
          <cell r="I58">
            <v>2036</v>
          </cell>
        </row>
        <row r="59">
          <cell r="I59">
            <v>2037</v>
          </cell>
        </row>
        <row r="60">
          <cell r="I60">
            <v>2038</v>
          </cell>
        </row>
        <row r="61">
          <cell r="I61">
            <v>2039</v>
          </cell>
        </row>
        <row r="62">
          <cell r="I62">
            <v>2040</v>
          </cell>
        </row>
        <row r="63">
          <cell r="I63">
            <v>2041</v>
          </cell>
        </row>
        <row r="64">
          <cell r="I64">
            <v>2042</v>
          </cell>
        </row>
        <row r="65">
          <cell r="I65">
            <v>2043</v>
          </cell>
        </row>
        <row r="66">
          <cell r="I66">
            <v>2044</v>
          </cell>
        </row>
        <row r="67">
          <cell r="I67">
            <v>2045</v>
          </cell>
        </row>
        <row r="68">
          <cell r="I68">
            <v>2046</v>
          </cell>
        </row>
        <row r="69">
          <cell r="I69">
            <v>2047</v>
          </cell>
        </row>
        <row r="70">
          <cell r="I70">
            <v>2048</v>
          </cell>
        </row>
        <row r="71">
          <cell r="I71">
            <v>2049</v>
          </cell>
        </row>
        <row r="72">
          <cell r="I72">
            <v>2050</v>
          </cell>
        </row>
        <row r="73">
          <cell r="I73">
            <v>2051</v>
          </cell>
        </row>
        <row r="74">
          <cell r="I74">
            <v>2052</v>
          </cell>
        </row>
        <row r="75">
          <cell r="I75">
            <v>2053</v>
          </cell>
        </row>
        <row r="76">
          <cell r="I76">
            <v>2054</v>
          </cell>
        </row>
        <row r="77">
          <cell r="I77">
            <v>2055</v>
          </cell>
        </row>
        <row r="78">
          <cell r="I78">
            <v>2056</v>
          </cell>
        </row>
        <row r="79">
          <cell r="I79">
            <v>2057</v>
          </cell>
        </row>
        <row r="80">
          <cell r="I80">
            <v>2058</v>
          </cell>
        </row>
        <row r="81">
          <cell r="I81">
            <v>2059</v>
          </cell>
        </row>
        <row r="82">
          <cell r="I82">
            <v>2060</v>
          </cell>
        </row>
        <row r="83">
          <cell r="I83">
            <v>2061</v>
          </cell>
        </row>
        <row r="84">
          <cell r="I84">
            <v>2062</v>
          </cell>
        </row>
        <row r="85">
          <cell r="I85">
            <v>2063</v>
          </cell>
        </row>
        <row r="86">
          <cell r="I86">
            <v>2064</v>
          </cell>
        </row>
        <row r="87">
          <cell r="I87">
            <v>2065</v>
          </cell>
        </row>
        <row r="88">
          <cell r="I88">
            <v>2066</v>
          </cell>
        </row>
        <row r="89">
          <cell r="I89">
            <v>2067</v>
          </cell>
        </row>
        <row r="90">
          <cell r="I90">
            <v>2068</v>
          </cell>
        </row>
        <row r="91">
          <cell r="I91">
            <v>2069</v>
          </cell>
        </row>
        <row r="92">
          <cell r="I92">
            <v>2070</v>
          </cell>
        </row>
        <row r="93">
          <cell r="I93">
            <v>2071</v>
          </cell>
        </row>
        <row r="94">
          <cell r="I94">
            <v>2072</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Feature Support"/>
      <sheetName val="Basic Sensings"/>
      <sheetName val="DATA Misc"/>
      <sheetName val="Module enable"/>
      <sheetName val="Functions"/>
      <sheetName val="Functions CMDs"/>
      <sheetName val="Remote Start"/>
      <sheetName val="Sense Group"/>
      <sheetName val="formulas_data tables"/>
      <sheetName val="Input"/>
    </sheetNames>
    <sheetDataSet>
      <sheetData sheetId="0" refreshError="1"/>
      <sheetData sheetId="1" refreshError="1"/>
      <sheetData sheetId="2" refreshError="1"/>
      <sheetData sheetId="3" refreshError="1"/>
      <sheetData sheetId="4" refreshError="1"/>
      <sheetData sheetId="5" refreshError="1">
        <row r="5">
          <cell r="A5" t="str">
            <v>DL_DOOR_ALL_UNLOCK</v>
          </cell>
          <cell r="B5" t="str">
            <v>YES</v>
          </cell>
        </row>
        <row r="6">
          <cell r="A6" t="str">
            <v>DL_DOOR_ALL_LOCK</v>
          </cell>
          <cell r="B6" t="str">
            <v>YES</v>
          </cell>
        </row>
        <row r="8">
          <cell r="A8" t="str">
            <v>LOW_PRIORITY0</v>
          </cell>
        </row>
        <row r="10">
          <cell r="A10" t="str">
            <v>LOW_PRIORITY1</v>
          </cell>
        </row>
        <row r="13">
          <cell r="A13" t="str">
            <v>LOW_PRIORITY2</v>
          </cell>
        </row>
        <row r="14">
          <cell r="A14" t="str">
            <v>LOW_PRIORITY3</v>
          </cell>
        </row>
        <row r="15">
          <cell r="A15" t="str">
            <v>LOW_PRIORITY4</v>
          </cell>
        </row>
        <row r="16">
          <cell r="A16" t="str">
            <v>LOW_PRIORITY5</v>
          </cell>
        </row>
        <row r="17">
          <cell r="A17" t="str">
            <v>LOW_PRIORITY6</v>
          </cell>
        </row>
        <row r="18">
          <cell r="A18" t="str">
            <v>LOW_PRIORITY7</v>
          </cell>
        </row>
      </sheetData>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H18"/>
  <sheetViews>
    <sheetView workbookViewId="0">
      <selection activeCell="K5" sqref="K5"/>
    </sheetView>
  </sheetViews>
  <sheetFormatPr defaultRowHeight="14.4" x14ac:dyDescent="0.55000000000000004"/>
  <cols>
    <col min="1" max="1" width="48.83984375" style="27" customWidth="1"/>
    <col min="2" max="2" width="19.83984375" style="27" customWidth="1"/>
    <col min="3" max="3" width="19.41796875" style="27" customWidth="1"/>
    <col min="4" max="4" width="15.578125" style="27" customWidth="1"/>
    <col min="5" max="5" width="10.15625" style="27" customWidth="1"/>
    <col min="6" max="6" width="12.578125" style="27" customWidth="1"/>
    <col min="7" max="7" width="10.26171875" style="27" customWidth="1"/>
    <col min="8" max="9" width="12.578125" style="27" customWidth="1"/>
    <col min="10" max="11" width="12.68359375" style="27" customWidth="1"/>
    <col min="12" max="12" width="16.68359375" style="27" customWidth="1"/>
    <col min="13" max="13" width="18.68359375" style="27" customWidth="1"/>
    <col min="14" max="14" width="4.15625" style="27" customWidth="1"/>
    <col min="15" max="15" width="3.41796875" style="27" customWidth="1"/>
    <col min="16" max="16" width="2.83984375" style="27" customWidth="1"/>
    <col min="17" max="17" width="2.578125" style="27" customWidth="1"/>
    <col min="18" max="18" width="2.83984375" style="27" customWidth="1"/>
    <col min="19" max="20" width="3.41796875" style="27" customWidth="1"/>
    <col min="21" max="21" width="2.83984375" style="27" customWidth="1"/>
    <col min="22" max="22" width="3.41796875" style="27" customWidth="1"/>
    <col min="23" max="23" width="3.15625" style="27" customWidth="1"/>
    <col min="24" max="25" width="3.41796875" style="27" customWidth="1"/>
    <col min="26" max="30" width="3.83984375" style="27" customWidth="1"/>
    <col min="31" max="31" width="2.83984375" style="27" customWidth="1"/>
    <col min="32" max="34" width="3.41796875" style="27" customWidth="1"/>
  </cols>
  <sheetData>
    <row r="1" spans="1:31" ht="36.75" customHeight="1" thickBot="1" x14ac:dyDescent="0.6">
      <c r="A1" s="45" t="s">
        <v>0</v>
      </c>
      <c r="B1" s="45" t="s">
        <v>1</v>
      </c>
      <c r="C1" s="45" t="s">
        <v>2</v>
      </c>
      <c r="D1" s="43" t="s">
        <v>3</v>
      </c>
      <c r="E1" s="43" t="s">
        <v>4</v>
      </c>
      <c r="F1" s="43" t="s">
        <v>5</v>
      </c>
      <c r="G1" s="43" t="s">
        <v>6</v>
      </c>
      <c r="H1" s="43" t="s">
        <v>7</v>
      </c>
      <c r="I1" s="43" t="s">
        <v>8</v>
      </c>
      <c r="J1" s="56" t="s">
        <v>9</v>
      </c>
      <c r="K1" s="56" t="s">
        <v>10</v>
      </c>
      <c r="L1" s="64" t="s">
        <v>11</v>
      </c>
      <c r="M1" s="64" t="s">
        <v>12</v>
      </c>
    </row>
    <row r="2" spans="1:31" ht="36.75" customHeight="1" thickTop="1" thickBot="1" x14ac:dyDescent="0.6">
      <c r="A2" s="46">
        <v>2019</v>
      </c>
      <c r="B2" s="46" t="s">
        <v>13</v>
      </c>
      <c r="C2" s="46" t="s">
        <v>14</v>
      </c>
      <c r="D2" s="44" t="s">
        <v>15</v>
      </c>
      <c r="E2" s="44" t="s">
        <v>16</v>
      </c>
      <c r="F2" s="46">
        <v>500000</v>
      </c>
      <c r="G2" s="46" t="s">
        <v>17</v>
      </c>
      <c r="H2" s="46">
        <v>250000</v>
      </c>
      <c r="I2" s="46" t="s">
        <v>17</v>
      </c>
      <c r="J2" s="57" t="s">
        <v>18</v>
      </c>
      <c r="K2" s="57">
        <v>1.0009999999999999</v>
      </c>
      <c r="L2" s="65" t="s">
        <v>19</v>
      </c>
      <c r="M2" s="66">
        <v>1</v>
      </c>
      <c r="N2" s="1"/>
      <c r="O2" s="1"/>
      <c r="P2" s="1"/>
      <c r="Q2" s="1"/>
      <c r="R2" s="1"/>
      <c r="S2" s="1"/>
      <c r="T2" s="1"/>
      <c r="U2" s="1"/>
      <c r="V2" s="1"/>
      <c r="W2" s="1"/>
      <c r="X2" s="1"/>
      <c r="Y2" s="1"/>
      <c r="Z2" s="1"/>
      <c r="AA2" s="1"/>
      <c r="AB2" s="1"/>
      <c r="AC2" s="1"/>
      <c r="AD2" s="1"/>
      <c r="AE2" s="115"/>
    </row>
    <row r="3" spans="1:31" ht="36.75" customHeight="1" thickTop="1" x14ac:dyDescent="0.55000000000000004">
      <c r="A3" s="1"/>
      <c r="B3" s="1"/>
      <c r="C3" s="1"/>
      <c r="D3" s="1"/>
      <c r="E3" s="1"/>
      <c r="F3" s="1"/>
      <c r="G3" s="1"/>
      <c r="H3" s="1"/>
      <c r="I3" s="1"/>
      <c r="J3" s="1"/>
      <c r="K3" s="1"/>
      <c r="L3" s="1"/>
      <c r="M3" s="1"/>
      <c r="N3" s="1"/>
      <c r="O3" s="1"/>
      <c r="P3" s="1"/>
      <c r="Q3" s="1"/>
      <c r="R3" s="1"/>
      <c r="S3" s="1"/>
      <c r="T3" s="1"/>
      <c r="U3" s="1"/>
      <c r="V3" s="1"/>
      <c r="W3" s="1"/>
      <c r="X3" s="115"/>
    </row>
    <row r="4" spans="1:31" ht="15" customHeight="1" x14ac:dyDescent="0.55000000000000004">
      <c r="B4" s="2"/>
    </row>
    <row r="5" spans="1:31" x14ac:dyDescent="0.55000000000000004">
      <c r="B5" s="2"/>
    </row>
    <row r="6" spans="1:31" x14ac:dyDescent="0.55000000000000004">
      <c r="B6" s="2"/>
    </row>
    <row r="7" spans="1:31" x14ac:dyDescent="0.55000000000000004">
      <c r="B7" s="2"/>
    </row>
    <row r="8" spans="1:31" x14ac:dyDescent="0.55000000000000004">
      <c r="B8" s="2"/>
    </row>
    <row r="9" spans="1:31" x14ac:dyDescent="0.55000000000000004">
      <c r="B9" s="2"/>
    </row>
    <row r="10" spans="1:31" x14ac:dyDescent="0.55000000000000004">
      <c r="B10" s="2"/>
    </row>
    <row r="11" spans="1:31" x14ac:dyDescent="0.55000000000000004">
      <c r="B11" s="2"/>
    </row>
    <row r="12" spans="1:31" x14ac:dyDescent="0.55000000000000004">
      <c r="B12" s="2"/>
    </row>
    <row r="13" spans="1:31" x14ac:dyDescent="0.55000000000000004">
      <c r="B13" s="2"/>
    </row>
    <row r="14" spans="1:31" x14ac:dyDescent="0.55000000000000004">
      <c r="B14" s="2"/>
    </row>
    <row r="15" spans="1:31" x14ac:dyDescent="0.55000000000000004">
      <c r="B15" s="2"/>
    </row>
    <row r="16" spans="1:31" x14ac:dyDescent="0.55000000000000004">
      <c r="B16" s="2"/>
    </row>
    <row r="17" spans="2:2" x14ac:dyDescent="0.55000000000000004">
      <c r="B17" s="2"/>
    </row>
    <row r="18" spans="2:2" x14ac:dyDescent="0.55000000000000004">
      <c r="B18" s="2"/>
    </row>
  </sheetData>
  <dataValidations count="5">
    <dataValidation type="list" errorStyle="warning" showInputMessage="1" showErrorMessage="1" promptTitle="auto" sqref="D2">
      <formula1>Transmission</formula1>
    </dataValidation>
    <dataValidation type="list" showInputMessage="1" showErrorMessage="1" sqref="E2">
      <formula1>carType</formula1>
    </dataValidation>
    <dataValidation type="list" showInputMessage="1" showErrorMessage="1" sqref="F2 H2">
      <formula1>baud</formula1>
    </dataValidation>
    <dataValidation type="list" showInputMessage="1" showErrorMessage="1" sqref="A2 A49:A110">
      <formula1>Year</formula1>
    </dataValidation>
    <dataValidation type="list" showInputMessage="1" showErrorMessage="1" sqref="G2 I2">
      <formula1>CAN_Type</formula1>
    </dataValidation>
  </dataValidations>
  <pageMargins left="0.7" right="0.7" top="0.75" bottom="0.75" header="0.3" footer="0.3"/>
  <pageSetup orientation="portrait"/>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42"/>
  <sheetViews>
    <sheetView workbookViewId="0">
      <selection activeCell="B32" sqref="B32:G32"/>
    </sheetView>
  </sheetViews>
  <sheetFormatPr defaultRowHeight="14.4" x14ac:dyDescent="0.55000000000000004"/>
  <cols>
    <col min="1" max="1" width="54.83984375" style="27" customWidth="1"/>
    <col min="2" max="2" width="12.41796875" style="27" customWidth="1"/>
    <col min="3" max="3" width="8.15625" style="27" bestFit="1" customWidth="1"/>
    <col min="4" max="4" width="15.578125" style="27" customWidth="1"/>
    <col min="5" max="5" width="10.15625" style="27" customWidth="1"/>
    <col min="6" max="7" width="12.578125" style="27" customWidth="1"/>
  </cols>
  <sheetData>
    <row r="1" spans="1:7" ht="14.7" customHeight="1" thickTop="1" x14ac:dyDescent="0.55000000000000004">
      <c r="A1" s="121" t="s">
        <v>20</v>
      </c>
      <c r="B1" s="123" t="s">
        <v>21</v>
      </c>
      <c r="C1" s="124"/>
      <c r="D1" s="124"/>
      <c r="E1" s="124"/>
      <c r="F1" s="124"/>
      <c r="G1" s="124"/>
    </row>
    <row r="2" spans="1:7" x14ac:dyDescent="0.55000000000000004">
      <c r="A2" s="122"/>
      <c r="B2" s="125"/>
      <c r="C2" s="125"/>
      <c r="D2" s="125"/>
      <c r="E2" s="125"/>
      <c r="F2" s="125"/>
      <c r="G2" s="125"/>
    </row>
    <row r="3" spans="1:7" x14ac:dyDescent="0.55000000000000004">
      <c r="A3" s="49" t="s">
        <v>22</v>
      </c>
      <c r="B3" s="118" t="str">
        <f>IF('Functions CMDs'!B26 = "ACTIVE", "x", "N/A")</f>
        <v>N/A</v>
      </c>
      <c r="C3" s="119"/>
      <c r="D3" s="119"/>
      <c r="E3" s="119"/>
      <c r="F3" s="119"/>
      <c r="G3" s="120"/>
    </row>
    <row r="4" spans="1:7" x14ac:dyDescent="0.55000000000000004">
      <c r="A4" s="49" t="s">
        <v>23</v>
      </c>
      <c r="B4" s="118" t="str">
        <f>IF('Functions CMDs'!B25 = "ACTIVE", "x", "N/A")</f>
        <v>N/A</v>
      </c>
      <c r="C4" s="119"/>
      <c r="D4" s="119"/>
      <c r="E4" s="119"/>
      <c r="F4" s="119"/>
      <c r="G4" s="120"/>
    </row>
    <row r="5" spans="1:7" x14ac:dyDescent="0.55000000000000004">
      <c r="A5" s="49" t="s">
        <v>24</v>
      </c>
      <c r="B5" s="118" t="str">
        <f>IF('Functions CMDs'!B24 = "ACTIVE", "x", "N/A")</f>
        <v>N/A</v>
      </c>
      <c r="C5" s="119"/>
      <c r="D5" s="119"/>
      <c r="E5" s="119"/>
      <c r="F5" s="119"/>
      <c r="G5" s="120"/>
    </row>
    <row r="6" spans="1:7" x14ac:dyDescent="0.55000000000000004">
      <c r="A6" s="49" t="s">
        <v>25</v>
      </c>
      <c r="B6" s="118" t="str">
        <f>IF('Functions CMDs'!B27 = "ACTIVE", "x", "N/A")</f>
        <v>N/A</v>
      </c>
      <c r="C6" s="119"/>
      <c r="D6" s="119"/>
      <c r="E6" s="119"/>
      <c r="F6" s="119"/>
      <c r="G6" s="120"/>
    </row>
    <row r="7" spans="1:7" x14ac:dyDescent="0.55000000000000004">
      <c r="A7" s="49" t="s">
        <v>26</v>
      </c>
      <c r="B7" s="118" t="str">
        <f>IF('Functions CMDs'!B28 = "ACTIVE", "x", "N/A")</f>
        <v>N/A</v>
      </c>
      <c r="C7" s="119"/>
      <c r="D7" s="119"/>
      <c r="E7" s="119"/>
      <c r="F7" s="119"/>
      <c r="G7" s="120"/>
    </row>
    <row r="8" spans="1:7" x14ac:dyDescent="0.55000000000000004">
      <c r="A8" s="49" t="s">
        <v>27</v>
      </c>
      <c r="B8" s="118" t="str">
        <f>IF('Functions CMDs'!B29 = "ACTIVE", "x", "N/A")</f>
        <v>N/A</v>
      </c>
      <c r="C8" s="119"/>
      <c r="D8" s="119"/>
      <c r="E8" s="119"/>
      <c r="F8" s="119"/>
      <c r="G8" s="120"/>
    </row>
    <row r="9" spans="1:7" x14ac:dyDescent="0.55000000000000004">
      <c r="A9" s="49" t="s">
        <v>28</v>
      </c>
      <c r="B9" s="118" t="str">
        <f>IF('Functions CMDs'!B30 = "ACTIVE", "x", "N/A")</f>
        <v>N/A</v>
      </c>
      <c r="C9" s="119"/>
      <c r="D9" s="119"/>
      <c r="E9" s="119"/>
      <c r="F9" s="119"/>
      <c r="G9" s="120"/>
    </row>
    <row r="10" spans="1:7" x14ac:dyDescent="0.55000000000000004">
      <c r="A10" s="49" t="s">
        <v>29</v>
      </c>
      <c r="B10" s="118" t="str">
        <f>IF('Functions CMDs'!B32 = "ACTIVE", "x", "N/A")</f>
        <v>N/A</v>
      </c>
      <c r="C10" s="119"/>
      <c r="D10" s="119"/>
      <c r="E10" s="119"/>
      <c r="F10" s="119"/>
      <c r="G10" s="120"/>
    </row>
    <row r="11" spans="1:7" x14ac:dyDescent="0.55000000000000004">
      <c r="A11" s="49" t="s">
        <v>30</v>
      </c>
      <c r="B11" s="118" t="str">
        <f>IF('Functions CMDs'!B31 = "ACTIVE", "x", "N/A")</f>
        <v>N/A</v>
      </c>
      <c r="C11" s="119"/>
      <c r="D11" s="119"/>
      <c r="E11" s="119"/>
      <c r="F11" s="119"/>
      <c r="G11" s="120"/>
    </row>
    <row r="12" spans="1:7" x14ac:dyDescent="0.55000000000000004">
      <c r="A12" s="49" t="s">
        <v>31</v>
      </c>
      <c r="B12" s="118" t="str">
        <f>IF('Functions CMDs'!B33 = "ACTIVE", "x", "N/A")</f>
        <v>N/A</v>
      </c>
      <c r="C12" s="119"/>
      <c r="D12" s="119"/>
      <c r="E12" s="119"/>
      <c r="F12" s="119"/>
      <c r="G12" s="120"/>
    </row>
    <row r="13" spans="1:7" x14ac:dyDescent="0.55000000000000004">
      <c r="A13" s="49" t="s">
        <v>32</v>
      </c>
      <c r="B13" s="118" t="str">
        <f>IF('Functions CMDs'!B21 = "ACTIVE", "x", "N/A")</f>
        <v>x</v>
      </c>
      <c r="C13" s="119"/>
      <c r="D13" s="119"/>
      <c r="E13" s="119"/>
      <c r="F13" s="119"/>
      <c r="G13" s="120"/>
    </row>
    <row r="14" spans="1:7" x14ac:dyDescent="0.55000000000000004">
      <c r="A14" s="49" t="s">
        <v>33</v>
      </c>
      <c r="B14" s="118" t="str">
        <f>IF('Functions CMDs'!B22 = "ACTIVE", "x", "N/A")</f>
        <v>x</v>
      </c>
      <c r="C14" s="119"/>
      <c r="D14" s="119"/>
      <c r="E14" s="119"/>
      <c r="F14" s="119"/>
      <c r="G14" s="120"/>
    </row>
    <row r="15" spans="1:7" x14ac:dyDescent="0.55000000000000004">
      <c r="A15" s="49" t="s">
        <v>34</v>
      </c>
      <c r="B15" s="118" t="str">
        <f>IF('Functions CMDs'!B8 = "ACTIVE", "x", "N/A")</f>
        <v>x</v>
      </c>
      <c r="C15" s="119"/>
      <c r="D15" s="119"/>
      <c r="E15" s="119"/>
      <c r="F15" s="119"/>
      <c r="G15" s="120"/>
    </row>
    <row r="16" spans="1:7" x14ac:dyDescent="0.55000000000000004">
      <c r="A16" s="49" t="s">
        <v>35</v>
      </c>
      <c r="B16" s="118" t="str">
        <f>IF('Functions CMDs'!B9 = "ACTIVE", "x", "N/A")</f>
        <v>x</v>
      </c>
      <c r="C16" s="119"/>
      <c r="D16" s="119"/>
      <c r="E16" s="119"/>
      <c r="F16" s="119"/>
      <c r="G16" s="120"/>
    </row>
    <row r="17" spans="1:7" x14ac:dyDescent="0.55000000000000004">
      <c r="A17" s="49" t="s">
        <v>36</v>
      </c>
      <c r="B17" s="118" t="str">
        <f>IF('Functions CMDs'!B10 = "ACTIVE", "x", "N/A")</f>
        <v>x</v>
      </c>
      <c r="C17" s="119"/>
      <c r="D17" s="119"/>
      <c r="E17" s="119"/>
      <c r="F17" s="119"/>
      <c r="G17" s="120"/>
    </row>
    <row r="18" spans="1:7" x14ac:dyDescent="0.55000000000000004">
      <c r="A18" s="49" t="s">
        <v>37</v>
      </c>
      <c r="B18" s="118" t="str">
        <f>IF('Functions CMDs'!B23 = "ACTIVE", "x", "N/A")</f>
        <v>N/A</v>
      </c>
      <c r="C18" s="119"/>
      <c r="D18" s="119"/>
      <c r="E18" s="119"/>
      <c r="F18" s="119"/>
      <c r="G18" s="120"/>
    </row>
    <row r="19" spans="1:7" x14ac:dyDescent="0.55000000000000004">
      <c r="A19" s="49" t="s">
        <v>38</v>
      </c>
      <c r="B19" s="118" t="str">
        <f>IF('Functions CMDs'!B16 = "ACTIVE", "x", "N/A")</f>
        <v>N/A</v>
      </c>
      <c r="C19" s="119"/>
      <c r="D19" s="119"/>
      <c r="E19" s="119"/>
      <c r="F19" s="119"/>
      <c r="G19" s="120"/>
    </row>
    <row r="20" spans="1:7" x14ac:dyDescent="0.55000000000000004">
      <c r="A20" s="49" t="s">
        <v>39</v>
      </c>
      <c r="B20" s="118" t="str">
        <f>IF('Functions CMDs'!B19 = "ACTIVE", "x", "N/A")</f>
        <v>N/A</v>
      </c>
      <c r="C20" s="119"/>
      <c r="D20" s="119"/>
      <c r="E20" s="119"/>
      <c r="F20" s="119"/>
      <c r="G20" s="120"/>
    </row>
    <row r="21" spans="1:7" x14ac:dyDescent="0.55000000000000004">
      <c r="A21" s="49" t="s">
        <v>40</v>
      </c>
      <c r="B21" s="118" t="str">
        <f>IF('Functions CMDs'!B20 = "ACTIVE", "x", "N/A")</f>
        <v>N/A</v>
      </c>
      <c r="C21" s="119"/>
      <c r="D21" s="119"/>
      <c r="E21" s="119"/>
      <c r="F21" s="119"/>
      <c r="G21" s="120"/>
    </row>
    <row r="22" spans="1:7" x14ac:dyDescent="0.55000000000000004">
      <c r="A22" s="49" t="s">
        <v>41</v>
      </c>
      <c r="B22" s="118" t="str">
        <f>IF('Functions CMDs'!B15 = "ACTIVE", "x", "N/A")</f>
        <v>x</v>
      </c>
      <c r="C22" s="119"/>
      <c r="D22" s="119"/>
      <c r="E22" s="119"/>
      <c r="F22" s="119"/>
      <c r="G22" s="120"/>
    </row>
    <row r="23" spans="1:7" x14ac:dyDescent="0.55000000000000004">
      <c r="A23" s="49" t="s">
        <v>42</v>
      </c>
      <c r="B23" s="118" t="str">
        <f>IF('Functions CMDs'!B18 = "ACTIVE", "x", "N/A")</f>
        <v>N/A</v>
      </c>
      <c r="C23" s="119"/>
      <c r="D23" s="119"/>
      <c r="E23" s="119"/>
      <c r="F23" s="119"/>
      <c r="G23" s="120"/>
    </row>
    <row r="24" spans="1:7" x14ac:dyDescent="0.55000000000000004">
      <c r="A24" s="49" t="s">
        <v>43</v>
      </c>
      <c r="B24" s="118" t="str">
        <f>IF('Functions CMDs'!B17 = "ACTIVE", "x", "N/A")</f>
        <v>N/A</v>
      </c>
      <c r="C24" s="119"/>
      <c r="D24" s="119"/>
      <c r="E24" s="119"/>
      <c r="F24" s="119"/>
      <c r="G24" s="120"/>
    </row>
    <row r="25" spans="1:7" x14ac:dyDescent="0.55000000000000004">
      <c r="A25" s="49" t="s">
        <v>44</v>
      </c>
      <c r="B25" s="118" t="e">
        <f>IF(OR('Basic Sensings'!#REF!="CAN1",'Basic Sensings'!#REF!="CAN2",'Basic Sensings'!#REF!="CAN1",'Basic Sensings'!#REF!="CAN2",'Basic Sensings'!#REF!="CAN1",'Basic Sensings'!#REF!="CAN2"),"x","N/A")</f>
        <v>#REF!</v>
      </c>
      <c r="C25" s="119"/>
      <c r="D25" s="119"/>
      <c r="E25" s="119"/>
      <c r="F25" s="119"/>
      <c r="G25" s="120"/>
    </row>
    <row r="26" spans="1:7" hidden="1" x14ac:dyDescent="0.55000000000000004">
      <c r="A26" s="49" t="s">
        <v>45</v>
      </c>
      <c r="B26" s="118"/>
      <c r="C26" s="119"/>
      <c r="D26" s="119"/>
      <c r="E26" s="119"/>
      <c r="F26" s="119"/>
      <c r="G26" s="120"/>
    </row>
    <row r="27" spans="1:7" hidden="1" x14ac:dyDescent="0.55000000000000004">
      <c r="A27" s="49" t="s">
        <v>46</v>
      </c>
      <c r="B27" s="118"/>
      <c r="C27" s="119"/>
      <c r="D27" s="119"/>
      <c r="E27" s="119"/>
      <c r="F27" s="119"/>
      <c r="G27" s="120"/>
    </row>
    <row r="28" spans="1:7" x14ac:dyDescent="0.55000000000000004">
      <c r="A28" s="49" t="s">
        <v>47</v>
      </c>
      <c r="B28" s="118" t="e">
        <f>IF('Basic Sensings'!#REF!="CAN1","x",IF('Basic Sensings'!#REF!="CAN2","x","N/A"))</f>
        <v>#REF!</v>
      </c>
      <c r="C28" s="119"/>
      <c r="D28" s="119"/>
      <c r="E28" s="119"/>
      <c r="F28" s="119"/>
      <c r="G28" s="120"/>
    </row>
    <row r="29" spans="1:7" x14ac:dyDescent="0.55000000000000004">
      <c r="A29" s="49" t="s">
        <v>48</v>
      </c>
      <c r="B29" s="118" t="e">
        <f>IF('Basic Sensings'!#REF!="CAN1","x",IF('Basic Sensings'!#REF!="CAN2","x","N/A"))</f>
        <v>#REF!</v>
      </c>
      <c r="C29" s="119"/>
      <c r="D29" s="119"/>
      <c r="E29" s="119"/>
      <c r="F29" s="119"/>
      <c r="G29" s="120"/>
    </row>
    <row r="30" spans="1:7" x14ac:dyDescent="0.55000000000000004">
      <c r="A30" s="49" t="s">
        <v>49</v>
      </c>
      <c r="B30" s="118" t="str">
        <f>IF(OR('Functions CMDs'!B35=" ACTIVE",'Functions CMDs'!B36="ACTIVE"),"x","N/A")</f>
        <v>N/A</v>
      </c>
      <c r="C30" s="119"/>
      <c r="D30" s="119"/>
      <c r="E30" s="119"/>
      <c r="F30" s="119"/>
      <c r="G30" s="120"/>
    </row>
    <row r="31" spans="1:7" x14ac:dyDescent="0.55000000000000004">
      <c r="A31" s="49" t="s">
        <v>50</v>
      </c>
      <c r="B31" s="118" t="str">
        <f>IF('Functions CMDs'!B34 = "ACTIVE", "x", "N/A")</f>
        <v>x</v>
      </c>
      <c r="C31" s="119"/>
      <c r="D31" s="119"/>
      <c r="E31" s="119"/>
      <c r="F31" s="119"/>
      <c r="G31" s="120"/>
    </row>
    <row r="32" spans="1:7" x14ac:dyDescent="0.55000000000000004">
      <c r="A32" s="49" t="s">
        <v>51</v>
      </c>
      <c r="B32" s="118" t="s">
        <v>52</v>
      </c>
      <c r="C32" s="119"/>
      <c r="D32" s="119"/>
      <c r="E32" s="119"/>
      <c r="F32" s="119"/>
      <c r="G32" s="120"/>
    </row>
    <row r="33" spans="1:7" x14ac:dyDescent="0.55000000000000004">
      <c r="A33" s="49" t="s">
        <v>53</v>
      </c>
      <c r="B33" s="118" t="e">
        <f>IF('Basic Sensings'!#REF!="CAN1","x",IF('Basic Sensings'!#REF!="CAN2","x","N/A"))</f>
        <v>#REF!</v>
      </c>
      <c r="C33" s="119"/>
      <c r="D33" s="119"/>
      <c r="E33" s="119"/>
      <c r="F33" s="119"/>
      <c r="G33" s="120"/>
    </row>
    <row r="34" spans="1:7" x14ac:dyDescent="0.55000000000000004">
      <c r="A34" s="49" t="s">
        <v>54</v>
      </c>
      <c r="B34" s="118" t="e">
        <f>IF(OR('Basic Sensings'!E3 = "CAN1",'Basic Sensings'!E4 = "CAN1",'Basic Sensings'!E5 = "CAN1",'Basic Sensings'!#REF! = "CAN1",'Basic Sensings'!#REF! = "CAN1",'Basic Sensings'!#REF! = "CAN1",'Basic Sensings'!#REF! = "CAN1",'Basic Sensings'!#REF!="CAN1",'Basic Sensings'!E3 = "CAN2",'Basic Sensings'!E4 ="CAN2",'Basic Sensings'!E5="CAN2",'Basic Sensings'!#REF! ="CAN2",'Basic Sensings'!#REF! ="CAN2",'Basic Sensings'!#REF! ="CAN2",'Basic Sensings'!#REF! ="CAN2",'Basic Sensings'!#REF! ="CAN2"),"x","N/A")</f>
        <v>#REF!</v>
      </c>
      <c r="C34" s="119"/>
      <c r="D34" s="119"/>
      <c r="E34" s="119"/>
      <c r="F34" s="119"/>
      <c r="G34" s="120"/>
    </row>
    <row r="35" spans="1:7" x14ac:dyDescent="0.55000000000000004">
      <c r="A35" s="49" t="s">
        <v>55</v>
      </c>
      <c r="B35" s="118" t="e">
        <f>IF('Basic Sensings'!#REF! = "CAN1","x", IF('Basic Sensings'!#REF! = "CAN2", "x", "N/A"))</f>
        <v>#REF!</v>
      </c>
      <c r="C35" s="119"/>
      <c r="D35" s="119"/>
      <c r="E35" s="119"/>
      <c r="F35" s="119"/>
      <c r="G35" s="120"/>
    </row>
    <row r="36" spans="1:7" x14ac:dyDescent="0.55000000000000004">
      <c r="A36" s="49" t="s">
        <v>56</v>
      </c>
      <c r="B36" s="118" t="e">
        <f>IF('Basic Sensings'!#REF! = "CAN1","x",IF('Basic Sensings'!#REF! = "CAN2","x","N/A"))</f>
        <v>#REF!</v>
      </c>
      <c r="C36" s="119"/>
      <c r="D36" s="119"/>
      <c r="E36" s="119"/>
      <c r="F36" s="119"/>
      <c r="G36" s="120"/>
    </row>
    <row r="37" spans="1:7" x14ac:dyDescent="0.55000000000000004">
      <c r="A37" s="49" t="s">
        <v>57</v>
      </c>
      <c r="B37" s="118" t="e">
        <f>IF(OR('Basic Sensings'!#REF! = "CAN1",'Basic Sensings'!#REF!= "CAN1",'Basic Sensings'!#REF! = "CAN1", 'Basic Sensings'!#REF!= "CAN1", 'Basic Sensings'!#REF!= "CAN1", 'Basic Sensings'!#REF! = "CAN2", 'Basic Sensings'!#REF! = "CAN2", 'Basic Sensings'!#REF! = "CAN2", 'Basic Sensings'!#REF! = "CAN2", 'Basic Sensings'!#REF! = "CAN2"), "x", "N/A")</f>
        <v>#REF!</v>
      </c>
      <c r="C37" s="119"/>
      <c r="D37" s="119"/>
      <c r="E37" s="119"/>
      <c r="F37" s="119"/>
      <c r="G37" s="120"/>
    </row>
    <row r="38" spans="1:7" x14ac:dyDescent="0.55000000000000004">
      <c r="A38" s="49" t="s">
        <v>58</v>
      </c>
      <c r="B38" s="118" t="e">
        <f>IF('Basic Sensings'!#REF!="CAN1","x",IF('Basic Sensings'!#REF!="CAN2","x","N/A"))</f>
        <v>#REF!</v>
      </c>
      <c r="C38" s="119"/>
      <c r="D38" s="119"/>
      <c r="E38" s="119"/>
      <c r="F38" s="119"/>
      <c r="G38" s="120"/>
    </row>
    <row r="39" spans="1:7" x14ac:dyDescent="0.55000000000000004">
      <c r="A39" s="49" t="s">
        <v>59</v>
      </c>
      <c r="B39" s="118" t="e">
        <f>IF(OR('Basic Sensings'!#REF! = "CAN1",'Basic Sensings'!#REF! = "CAN1",'Basic Sensings'!#REF! = "CAN1",'Basic Sensings'!#REF! = "CAN1",'Basic Sensings'!#REF! = "CAN1",'Basic Sensings'!#REF! = "CAN1",'Basic Sensings'!#REF! = "CAN1",'Basic Sensings'!#REF! = "CAN1",'Basic Sensings'!#REF! = "CAN1",'Basic Sensings'!#REF! = "CAN1",'Basic Sensings'!#REF! = "CAN2",'Basic Sensings'!#REF! = "CAN2",'Basic Sensings'!#REF! = "CAN2",'Basic Sensings'!#REF! = "CAN2",'Basic Sensings'!#REF! = "CAN2",'Basic Sensings'!#REF! = "CAN2",'Basic Sensings'!#REF! = "CAN2",'Basic Sensings'!#REF! = "CAN2",'Basic Sensings'!#REF! = "CAN2",'Basic Sensings'!#REF! = "CAN2"),"x","N/A")</f>
        <v>#REF!</v>
      </c>
      <c r="C39" s="119"/>
      <c r="D39" s="119"/>
      <c r="E39" s="119"/>
      <c r="F39" s="119"/>
      <c r="G39" s="120"/>
    </row>
    <row r="40" spans="1:7" x14ac:dyDescent="0.55000000000000004">
      <c r="A40" s="49" t="s">
        <v>60</v>
      </c>
      <c r="B40" s="118" t="e">
        <f>IF('Basic Sensings'!#REF!="CAN1","x",IF('Basic Sensings'!#REF!="CAN2","x","N/A"))</f>
        <v>#REF!</v>
      </c>
      <c r="C40" s="119"/>
      <c r="D40" s="119"/>
      <c r="E40" s="119"/>
      <c r="F40" s="119"/>
      <c r="G40" s="120"/>
    </row>
    <row r="41" spans="1:7" x14ac:dyDescent="0.55000000000000004">
      <c r="A41" s="49" t="s">
        <v>61</v>
      </c>
      <c r="B41" s="118" t="e">
        <f>IF('Basic Sensings'!#REF!="CAN1","x",IF('Basic Sensings'!#REF!="CAN2","x","N/A"))</f>
        <v>#REF!</v>
      </c>
      <c r="C41" s="119"/>
      <c r="D41" s="119"/>
      <c r="E41" s="119"/>
      <c r="F41" s="119"/>
      <c r="G41" s="120"/>
    </row>
    <row r="42" spans="1:7" x14ac:dyDescent="0.55000000000000004">
      <c r="A42" s="49" t="s">
        <v>62</v>
      </c>
      <c r="B42" s="118" t="str">
        <f>IF(Summary!E2 = "PTS", "x", "N/A")</f>
        <v>N/A</v>
      </c>
      <c r="C42" s="119"/>
      <c r="D42" s="119"/>
      <c r="E42" s="119"/>
      <c r="F42" s="119"/>
      <c r="G42" s="120"/>
    </row>
  </sheetData>
  <mergeCells count="42">
    <mergeCell ref="B12:G12"/>
    <mergeCell ref="A1:A2"/>
    <mergeCell ref="B1:G2"/>
    <mergeCell ref="B3:G3"/>
    <mergeCell ref="B4:G4"/>
    <mergeCell ref="B5:G5"/>
    <mergeCell ref="B6:G6"/>
    <mergeCell ref="B7:G7"/>
    <mergeCell ref="B8:G8"/>
    <mergeCell ref="B9:G9"/>
    <mergeCell ref="B10:G10"/>
    <mergeCell ref="B11:G11"/>
    <mergeCell ref="B24:G24"/>
    <mergeCell ref="B13:G13"/>
    <mergeCell ref="B14:G14"/>
    <mergeCell ref="B15:G15"/>
    <mergeCell ref="B16:G16"/>
    <mergeCell ref="B17:G17"/>
    <mergeCell ref="B18:G18"/>
    <mergeCell ref="B19:G19"/>
    <mergeCell ref="B20:G20"/>
    <mergeCell ref="B21:G21"/>
    <mergeCell ref="B22:G22"/>
    <mergeCell ref="B23:G23"/>
    <mergeCell ref="B35:G35"/>
    <mergeCell ref="B25:G25"/>
    <mergeCell ref="B26:G26"/>
    <mergeCell ref="B27:G27"/>
    <mergeCell ref="B28:G28"/>
    <mergeCell ref="B29:G29"/>
    <mergeCell ref="B30:G30"/>
    <mergeCell ref="B31:G31"/>
    <mergeCell ref="B32:G32"/>
    <mergeCell ref="B33:G33"/>
    <mergeCell ref="B34:G34"/>
    <mergeCell ref="B42:G42"/>
    <mergeCell ref="B36:G36"/>
    <mergeCell ref="B37:G37"/>
    <mergeCell ref="B38:G38"/>
    <mergeCell ref="B39:G39"/>
    <mergeCell ref="B40:G40"/>
    <mergeCell ref="B41:G41"/>
  </mergeCells>
  <dataValidations count="1">
    <dataValidation type="list" showInputMessage="1" showErrorMessage="1" sqref="A43:A44">
      <formula1>Year</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V100"/>
  <sheetViews>
    <sheetView tabSelected="1" zoomScale="40" zoomScaleNormal="40" workbookViewId="0">
      <selection activeCell="X37" sqref="X37"/>
    </sheetView>
  </sheetViews>
  <sheetFormatPr defaultRowHeight="14.4" x14ac:dyDescent="0.55000000000000004"/>
  <cols>
    <col min="1" max="1" width="38.83984375" style="8" customWidth="1"/>
    <col min="2" max="2" width="40.578125" style="13" customWidth="1"/>
    <col min="3" max="3" width="29.15625" style="13" customWidth="1"/>
    <col min="4" max="4" width="16.83984375" style="13" customWidth="1"/>
    <col min="5" max="5" width="19.41796875" style="5" customWidth="1"/>
    <col min="6" max="6" width="28.41796875" style="5" customWidth="1"/>
    <col min="7" max="7" width="22.578125" style="117" customWidth="1"/>
    <col min="8" max="8" width="40.26171875" style="117" customWidth="1"/>
    <col min="9" max="9" width="16.578125" style="117" customWidth="1"/>
    <col min="10" max="10" width="43.41796875" style="117" customWidth="1"/>
    <col min="11" max="11" width="16.578125" style="117" customWidth="1"/>
    <col min="12" max="12" width="19.15625" style="117" customWidth="1"/>
    <col min="13" max="16" width="16.578125" style="117" customWidth="1"/>
    <col min="17" max="17" width="12.578125" style="146" customWidth="1"/>
    <col min="18" max="18" width="41.578125" style="146" customWidth="1"/>
    <col min="19" max="22" width="9.15625" style="27" customWidth="1"/>
  </cols>
  <sheetData>
    <row r="1" spans="1:19" ht="30.75" customHeight="1" x14ac:dyDescent="1.1000000000000001">
      <c r="A1" s="126" t="s">
        <v>63</v>
      </c>
      <c r="B1" s="127"/>
      <c r="C1" s="127"/>
      <c r="D1" s="127"/>
      <c r="E1" s="47">
        <f>Years</f>
        <v>2019</v>
      </c>
      <c r="F1" s="42" t="str">
        <f>make</f>
        <v>HONDA PUSH2START GAZ</v>
      </c>
      <c r="G1" s="42" t="str">
        <f>model</f>
        <v>ACCORD 4DOOR SEDAN</v>
      </c>
      <c r="H1" s="29"/>
      <c r="I1" s="29"/>
      <c r="J1" s="29"/>
      <c r="K1" s="29"/>
      <c r="L1" s="29"/>
      <c r="M1" s="29"/>
      <c r="N1" s="29"/>
      <c r="O1" s="29"/>
      <c r="P1" s="29"/>
      <c r="Q1" s="129"/>
      <c r="R1" s="144"/>
    </row>
    <row r="2" spans="1:19" ht="43.5" customHeight="1" x14ac:dyDescent="0.55000000000000004">
      <c r="A2" s="128"/>
      <c r="B2" s="128"/>
      <c r="C2" s="128"/>
      <c r="D2" s="128"/>
      <c r="E2" s="39" t="str">
        <f>tran</f>
        <v>Auto</v>
      </c>
      <c r="F2" s="40" t="str">
        <f>car</f>
        <v>Key</v>
      </c>
      <c r="G2" s="20"/>
      <c r="H2" s="20"/>
      <c r="I2" s="20"/>
      <c r="J2" s="20"/>
      <c r="K2" s="20"/>
      <c r="L2" s="20"/>
      <c r="M2" s="20"/>
      <c r="N2" s="20"/>
      <c r="O2" s="20"/>
      <c r="P2" s="20"/>
      <c r="Q2" s="145"/>
      <c r="R2" s="145"/>
    </row>
    <row r="3" spans="1:19" s="28" customFormat="1" ht="19.5" customHeight="1" x14ac:dyDescent="0.6">
      <c r="A3" s="68" t="s">
        <v>64</v>
      </c>
      <c r="B3" s="68" t="s">
        <v>65</v>
      </c>
      <c r="C3" s="68" t="s">
        <v>66</v>
      </c>
      <c r="D3" s="68" t="s">
        <v>67</v>
      </c>
      <c r="E3" s="68" t="s">
        <v>68</v>
      </c>
      <c r="F3" s="68" t="s">
        <v>69</v>
      </c>
      <c r="G3" s="71" t="s">
        <v>70</v>
      </c>
      <c r="H3" s="68" t="s">
        <v>71</v>
      </c>
      <c r="I3" s="68" t="s">
        <v>72</v>
      </c>
      <c r="J3" s="68" t="s">
        <v>73</v>
      </c>
      <c r="K3" s="68" t="s">
        <v>74</v>
      </c>
      <c r="L3" s="68" t="s">
        <v>75</v>
      </c>
      <c r="M3" s="68" t="s">
        <v>76</v>
      </c>
      <c r="N3" s="68" t="s">
        <v>77</v>
      </c>
      <c r="O3" s="68" t="s">
        <v>78</v>
      </c>
      <c r="P3" s="68" t="s">
        <v>79</v>
      </c>
      <c r="Q3" s="68" t="s">
        <v>80</v>
      </c>
      <c r="R3" s="68" t="s">
        <v>81</v>
      </c>
      <c r="S3" s="28" t="s">
        <v>82</v>
      </c>
    </row>
    <row r="4" spans="1:19" ht="20.399999999999999" customHeight="1" x14ac:dyDescent="0.75">
      <c r="A4" s="10"/>
      <c r="B4" s="12"/>
      <c r="C4" s="12"/>
      <c r="D4" s="12"/>
      <c r="E4" s="11"/>
      <c r="F4" s="11"/>
      <c r="G4" s="26"/>
      <c r="H4" s="26"/>
      <c r="I4" s="26"/>
      <c r="J4" s="26"/>
      <c r="K4" s="26"/>
      <c r="L4" s="26"/>
      <c r="M4" s="26"/>
      <c r="N4" s="26"/>
      <c r="O4" s="26"/>
      <c r="P4" s="26"/>
      <c r="Q4" s="11"/>
      <c r="R4" s="11"/>
    </row>
    <row r="5" spans="1:19" x14ac:dyDescent="0.55000000000000004">
      <c r="A5" s="9"/>
      <c r="B5" s="63"/>
      <c r="C5" s="4"/>
      <c r="D5" s="4"/>
      <c r="E5" s="54"/>
      <c r="F5" s="54"/>
      <c r="G5" s="54"/>
      <c r="H5" s="58"/>
      <c r="I5" s="58"/>
      <c r="J5" s="58"/>
      <c r="K5" s="58"/>
      <c r="L5" s="58"/>
      <c r="M5" s="58"/>
      <c r="N5" s="58"/>
      <c r="O5" s="58"/>
      <c r="P5" s="58"/>
      <c r="Q5" s="54"/>
      <c r="R5" s="54"/>
      <c r="S5" t="str">
        <f>_xlfn.IFNA(VLOOKUP(B5,[4]Functions!$A$5:$B$25,2,FALSE),"NO")</f>
        <v>NO</v>
      </c>
    </row>
    <row r="6" spans="1:19" x14ac:dyDescent="0.55000000000000004">
      <c r="A6" s="9"/>
      <c r="B6" s="63"/>
      <c r="C6" s="4"/>
      <c r="D6" s="4"/>
      <c r="E6" s="54"/>
      <c r="F6" s="54"/>
      <c r="G6" s="54"/>
      <c r="H6" s="58"/>
      <c r="I6" s="58"/>
      <c r="J6" s="58"/>
      <c r="K6" s="58"/>
      <c r="L6" s="36"/>
      <c r="M6" s="36"/>
      <c r="N6" s="36"/>
      <c r="O6" s="36"/>
      <c r="P6" s="36"/>
      <c r="Q6" s="54"/>
      <c r="R6" s="54"/>
      <c r="S6" t="str">
        <f>_xlfn.IFNA(VLOOKUP(B6,[4]Functions!$A$5:$B$25,2,FALSE),"NO")</f>
        <v>NO</v>
      </c>
    </row>
    <row r="7" spans="1:19" x14ac:dyDescent="0.55000000000000004">
      <c r="A7" s="9"/>
      <c r="B7" s="63"/>
      <c r="C7" s="4"/>
      <c r="D7" s="4"/>
      <c r="E7" s="54"/>
      <c r="F7" s="54"/>
      <c r="G7" s="54"/>
      <c r="H7" s="58"/>
      <c r="I7" s="58"/>
      <c r="J7" s="58"/>
      <c r="K7" s="58"/>
      <c r="L7" s="36"/>
      <c r="M7" s="36"/>
      <c r="N7" s="36"/>
      <c r="O7" s="36"/>
      <c r="P7" s="36"/>
      <c r="Q7" s="54"/>
      <c r="R7" s="95"/>
      <c r="S7" t="str">
        <f>_xlfn.IFNA(VLOOKUP(B7,[4]Functions!$A$5:$B$25,2,FALSE),"NO")</f>
        <v>NO</v>
      </c>
    </row>
    <row r="8" spans="1:19" x14ac:dyDescent="0.55000000000000004">
      <c r="A8" s="9"/>
      <c r="B8" s="63"/>
      <c r="C8" s="4"/>
      <c r="D8" s="4"/>
      <c r="E8" s="54"/>
      <c r="F8" s="54"/>
      <c r="G8" s="54"/>
      <c r="H8" s="58"/>
      <c r="I8" s="58"/>
      <c r="J8" s="58"/>
      <c r="K8" s="58"/>
      <c r="L8" s="36"/>
      <c r="M8" s="36"/>
      <c r="N8" s="36"/>
      <c r="O8" s="36"/>
      <c r="P8" s="36"/>
      <c r="Q8" s="54"/>
      <c r="R8" s="54"/>
      <c r="S8" t="str">
        <f>_xlfn.IFNA(VLOOKUP(B8,[4]Functions!$A$5:$B$25,2,FALSE),"NO")</f>
        <v>NO</v>
      </c>
    </row>
    <row r="9" spans="1:19" x14ac:dyDescent="0.55000000000000004">
      <c r="A9" s="9"/>
      <c r="B9" s="63"/>
      <c r="C9" s="4"/>
      <c r="D9" s="4"/>
      <c r="E9" s="54"/>
      <c r="F9" s="54"/>
      <c r="G9" s="54"/>
      <c r="H9" s="58"/>
      <c r="I9" s="58"/>
      <c r="J9" s="58"/>
      <c r="K9" s="58"/>
      <c r="L9" s="36"/>
      <c r="M9" s="36"/>
      <c r="N9" s="36"/>
      <c r="O9" s="36"/>
      <c r="P9" s="36"/>
      <c r="Q9" s="54"/>
      <c r="R9" s="54"/>
      <c r="S9" t="str">
        <f>_xlfn.IFNA(VLOOKUP(B9,[4]Functions!$A$5:$B$25,2,FALSE),"NO")</f>
        <v>NO</v>
      </c>
    </row>
    <row r="10" spans="1:19" x14ac:dyDescent="0.55000000000000004">
      <c r="A10" s="9"/>
      <c r="B10" s="63"/>
      <c r="C10" s="4"/>
      <c r="D10" s="4"/>
      <c r="E10" s="54"/>
      <c r="F10" s="54"/>
      <c r="G10" s="54"/>
      <c r="H10" s="58"/>
      <c r="I10" s="58"/>
      <c r="J10" s="58"/>
      <c r="K10" s="58"/>
      <c r="L10" s="36"/>
      <c r="M10" s="36"/>
      <c r="N10" s="36"/>
      <c r="O10" s="36"/>
      <c r="P10" s="36"/>
      <c r="Q10" s="54"/>
      <c r="R10" s="54"/>
      <c r="S10" t="str">
        <f>_xlfn.IFNA(VLOOKUP(B10,[4]Functions!$A$5:$B$25,2,FALSE),"NO")</f>
        <v>NO</v>
      </c>
    </row>
    <row r="11" spans="1:19" x14ac:dyDescent="0.55000000000000004">
      <c r="A11" s="9"/>
      <c r="B11" s="63"/>
      <c r="C11" s="4"/>
      <c r="D11" s="4"/>
      <c r="E11" s="54"/>
      <c r="F11" s="54"/>
      <c r="G11" s="54"/>
      <c r="H11" s="58"/>
      <c r="I11" s="58"/>
      <c r="J11" s="58"/>
      <c r="K11" s="58"/>
      <c r="L11" s="36"/>
      <c r="M11" s="36"/>
      <c r="N11" s="36"/>
      <c r="O11" s="36"/>
      <c r="P11" s="36"/>
      <c r="Q11" s="54"/>
      <c r="R11" s="54"/>
      <c r="S11" t="str">
        <f>_xlfn.IFNA(VLOOKUP(B11,[4]Functions!$A$5:$B$25,2,FALSE),"NO")</f>
        <v>NO</v>
      </c>
    </row>
    <row r="12" spans="1:19" x14ac:dyDescent="0.55000000000000004">
      <c r="A12" s="9"/>
      <c r="B12" s="63"/>
      <c r="C12" s="4"/>
      <c r="D12" s="4"/>
      <c r="E12" s="54"/>
      <c r="F12" s="54"/>
      <c r="G12" s="54"/>
      <c r="H12" s="58"/>
      <c r="I12" s="58"/>
      <c r="J12" s="58"/>
      <c r="K12" s="58"/>
      <c r="L12" s="36"/>
      <c r="M12" s="36"/>
      <c r="N12" s="36"/>
      <c r="O12" s="36"/>
      <c r="P12" s="36"/>
      <c r="Q12" s="54"/>
      <c r="R12" s="54"/>
      <c r="S12" t="str">
        <f>_xlfn.IFNA(VLOOKUP(B12,[4]Functions!$A$5:$B$25,2,FALSE),"NO")</f>
        <v>NO</v>
      </c>
    </row>
    <row r="13" spans="1:19" x14ac:dyDescent="0.55000000000000004">
      <c r="A13" s="9"/>
      <c r="B13" s="63"/>
      <c r="C13" s="4"/>
      <c r="D13" s="4"/>
      <c r="E13" s="54"/>
      <c r="F13" s="54"/>
      <c r="G13" s="54"/>
      <c r="H13" s="58"/>
      <c r="I13" s="58"/>
      <c r="J13" s="58"/>
      <c r="K13" s="58"/>
      <c r="L13" s="36"/>
      <c r="M13" s="36"/>
      <c r="N13" s="36"/>
      <c r="O13" s="36"/>
      <c r="P13" s="36"/>
      <c r="Q13" s="54"/>
      <c r="R13" s="54"/>
      <c r="S13" t="str">
        <f>_xlfn.IFNA(VLOOKUP(B13,[4]Functions!$A$5:$B$25,2,FALSE),"NO")</f>
        <v>NO</v>
      </c>
    </row>
    <row r="14" spans="1:19" x14ac:dyDescent="0.55000000000000004">
      <c r="A14" s="9"/>
      <c r="B14" s="63"/>
      <c r="C14" s="4"/>
      <c r="D14" s="4"/>
      <c r="E14" s="54"/>
      <c r="F14" s="54"/>
      <c r="G14" s="54"/>
      <c r="H14" s="58"/>
      <c r="I14" s="58"/>
      <c r="J14" s="58"/>
      <c r="K14" s="58"/>
      <c r="L14" s="36"/>
      <c r="M14" s="36"/>
      <c r="N14" s="36"/>
      <c r="O14" s="36"/>
      <c r="P14" s="36"/>
      <c r="Q14" s="54"/>
      <c r="R14" s="54"/>
      <c r="S14" t="str">
        <f>_xlfn.IFNA(VLOOKUP(B14,[4]Functions!$A$5:$B$25,2,FALSE),"NO")</f>
        <v>NO</v>
      </c>
    </row>
    <row r="15" spans="1:19" x14ac:dyDescent="0.55000000000000004">
      <c r="A15" s="9"/>
      <c r="B15" s="63"/>
      <c r="C15" s="4"/>
      <c r="D15" s="4"/>
      <c r="E15" s="54"/>
      <c r="F15" s="54"/>
      <c r="G15" s="54"/>
      <c r="H15" s="58"/>
      <c r="I15" s="58"/>
      <c r="J15" s="58"/>
      <c r="K15" s="58"/>
      <c r="L15" s="36"/>
      <c r="M15" s="36"/>
      <c r="N15" s="36"/>
      <c r="O15" s="36"/>
      <c r="P15" s="36"/>
      <c r="Q15" s="54"/>
      <c r="R15" s="54"/>
      <c r="S15" t="str">
        <f>_xlfn.IFNA(VLOOKUP(B15,[4]Functions!$A$5:$B$25,2,FALSE),"NO")</f>
        <v>NO</v>
      </c>
    </row>
    <row r="16" spans="1:19" x14ac:dyDescent="0.55000000000000004">
      <c r="A16" s="9"/>
      <c r="B16" s="63"/>
      <c r="C16" s="4"/>
      <c r="D16" s="4"/>
      <c r="E16" s="54"/>
      <c r="F16" s="54"/>
      <c r="G16" s="54"/>
      <c r="H16" s="58"/>
      <c r="I16" s="58"/>
      <c r="J16" s="58"/>
      <c r="K16" s="58"/>
      <c r="L16" s="36"/>
      <c r="M16" s="36"/>
      <c r="N16" s="36"/>
      <c r="O16" s="36"/>
      <c r="P16" s="36"/>
      <c r="Q16" s="54"/>
      <c r="R16" s="54"/>
      <c r="S16" t="str">
        <f>_xlfn.IFNA(VLOOKUP(B16,[4]Functions!$A$5:$B$25,2,FALSE),"NO")</f>
        <v>NO</v>
      </c>
    </row>
    <row r="17" spans="1:19" x14ac:dyDescent="0.55000000000000004">
      <c r="A17" s="9"/>
      <c r="B17" s="63"/>
      <c r="C17" s="4"/>
      <c r="D17" s="4"/>
      <c r="E17" s="54"/>
      <c r="F17" s="54"/>
      <c r="G17" s="54"/>
      <c r="H17" s="58"/>
      <c r="I17" s="58"/>
      <c r="J17" s="58"/>
      <c r="K17" s="58"/>
      <c r="L17" s="36"/>
      <c r="M17" s="36"/>
      <c r="N17" s="36"/>
      <c r="O17" s="36"/>
      <c r="P17" s="36"/>
      <c r="Q17" s="54"/>
      <c r="R17" s="54"/>
      <c r="S17" t="str">
        <f>_xlfn.IFNA(VLOOKUP(B17,[4]Functions!$A$5:$B$25,2,FALSE),"NO")</f>
        <v>NO</v>
      </c>
    </row>
    <row r="18" spans="1:19" x14ac:dyDescent="0.55000000000000004">
      <c r="A18" s="9"/>
      <c r="B18" s="63"/>
      <c r="C18" s="4"/>
      <c r="D18" s="4"/>
      <c r="E18" s="54"/>
      <c r="F18" s="54"/>
      <c r="G18" s="54"/>
      <c r="H18" s="54"/>
      <c r="I18" s="54"/>
      <c r="J18" s="54"/>
      <c r="K18" s="54"/>
      <c r="L18" s="54"/>
      <c r="M18" s="54"/>
      <c r="N18" s="54"/>
      <c r="O18" s="54"/>
      <c r="P18" s="54"/>
      <c r="Q18" s="54"/>
      <c r="R18" s="54"/>
      <c r="S18" t="str">
        <f>_xlfn.IFNA(VLOOKUP(B18,[4]Functions!$A$5:$B$25,2,FALSE),"NO")</f>
        <v>NO</v>
      </c>
    </row>
    <row r="19" spans="1:19" x14ac:dyDescent="0.55000000000000004">
      <c r="A19" s="9"/>
      <c r="B19" s="63"/>
      <c r="C19" s="4"/>
      <c r="D19" s="4"/>
      <c r="E19" s="54"/>
      <c r="F19" s="54"/>
      <c r="G19" s="54"/>
      <c r="H19" s="58"/>
      <c r="I19" s="58"/>
      <c r="J19" s="58"/>
      <c r="K19" s="58"/>
      <c r="L19" s="58"/>
      <c r="M19" s="58"/>
      <c r="N19" s="58"/>
      <c r="O19" s="58"/>
      <c r="P19" s="36"/>
      <c r="Q19" s="54"/>
      <c r="R19" s="54"/>
      <c r="S19" t="s">
        <v>104</v>
      </c>
    </row>
    <row r="20" spans="1:19" x14ac:dyDescent="0.55000000000000004">
      <c r="A20" s="9"/>
      <c r="B20" s="63"/>
      <c r="C20" s="4"/>
      <c r="D20" s="4"/>
      <c r="E20" s="54"/>
      <c r="F20" s="54"/>
      <c r="G20" s="36"/>
      <c r="H20" s="36"/>
      <c r="I20" s="36"/>
      <c r="J20" s="36"/>
      <c r="K20" s="36"/>
      <c r="L20" s="36"/>
      <c r="M20" s="36"/>
      <c r="N20" s="36"/>
      <c r="O20" s="36"/>
      <c r="P20" s="36"/>
      <c r="Q20" s="54"/>
      <c r="R20" s="54"/>
      <c r="S20" t="str">
        <f>_xlfn.IFNA(VLOOKUP(B20,[4]Functions!$A$5:$B$25,2,FALSE),"NO")</f>
        <v>NO</v>
      </c>
    </row>
    <row r="21" spans="1:19" x14ac:dyDescent="0.55000000000000004">
      <c r="A21" s="9"/>
      <c r="B21" s="63"/>
      <c r="C21" s="4"/>
      <c r="D21" s="4"/>
      <c r="E21" s="54"/>
      <c r="F21" s="54"/>
      <c r="G21" s="36"/>
      <c r="H21" s="36"/>
      <c r="I21" s="36"/>
      <c r="J21" s="58"/>
      <c r="K21" s="36"/>
      <c r="L21" s="36"/>
      <c r="M21" s="36"/>
      <c r="N21" s="36"/>
      <c r="O21" s="36"/>
      <c r="P21" s="36"/>
      <c r="Q21" s="54"/>
      <c r="R21" s="54"/>
      <c r="S21" t="str">
        <f>_xlfn.IFNA(VLOOKUP(B21,[4]Functions!$A$5:$B$25,2,FALSE),"NO")</f>
        <v>NO</v>
      </c>
    </row>
    <row r="22" spans="1:19" x14ac:dyDescent="0.55000000000000004">
      <c r="A22" s="9"/>
      <c r="B22" s="63"/>
      <c r="C22" s="4"/>
      <c r="D22" s="4"/>
      <c r="E22" s="54"/>
      <c r="F22" s="54"/>
      <c r="G22" s="36"/>
      <c r="H22" s="36"/>
      <c r="I22" s="36"/>
      <c r="J22" s="36"/>
      <c r="K22" s="36"/>
      <c r="L22" s="36"/>
      <c r="M22" s="36"/>
      <c r="N22" s="36"/>
      <c r="O22" s="36"/>
      <c r="P22" s="36"/>
      <c r="Q22" s="54"/>
      <c r="R22" s="54"/>
      <c r="S22" t="str">
        <f>_xlfn.IFNA(VLOOKUP(B22,[4]Functions!$A$5:$B$25,2,FALSE),"NO")</f>
        <v>NO</v>
      </c>
    </row>
    <row r="23" spans="1:19" x14ac:dyDescent="0.55000000000000004">
      <c r="A23" s="9"/>
      <c r="B23" s="63"/>
      <c r="C23" s="4"/>
      <c r="D23" s="4"/>
      <c r="E23" s="54"/>
      <c r="F23" s="54"/>
      <c r="G23" s="36"/>
      <c r="H23" s="36"/>
      <c r="J23" s="36"/>
      <c r="K23" s="36"/>
      <c r="L23" s="36"/>
      <c r="M23" s="36"/>
      <c r="N23" s="36"/>
      <c r="O23" s="36"/>
      <c r="P23" s="36"/>
      <c r="Q23" s="54"/>
      <c r="R23" s="54"/>
      <c r="S23" t="str">
        <f>_xlfn.IFNA(VLOOKUP(B23,[4]Functions!$A$5:$B$25,2,FALSE),"NO")</f>
        <v>NO</v>
      </c>
    </row>
    <row r="24" spans="1:19" x14ac:dyDescent="0.55000000000000004">
      <c r="A24" s="9"/>
      <c r="B24" s="63"/>
      <c r="C24" s="4"/>
      <c r="D24" s="4"/>
      <c r="E24" s="54"/>
      <c r="F24" s="54"/>
      <c r="G24" s="36"/>
      <c r="H24" s="58"/>
      <c r="I24" s="36"/>
      <c r="J24" s="58"/>
      <c r="K24" s="36"/>
      <c r="L24" s="36"/>
      <c r="M24" s="36"/>
      <c r="N24" s="36"/>
      <c r="O24" s="36"/>
      <c r="P24" s="36"/>
      <c r="Q24" s="54"/>
      <c r="R24" s="54"/>
      <c r="S24" t="str">
        <f>_xlfn.IFNA(VLOOKUP(B24,[4]Functions!$A$5:$B$25,2,FALSE),"NO")</f>
        <v>NO</v>
      </c>
    </row>
    <row r="25" spans="1:19" x14ac:dyDescent="0.55000000000000004">
      <c r="A25" s="9"/>
      <c r="B25" s="63"/>
      <c r="C25" s="4"/>
      <c r="D25" s="4"/>
      <c r="E25" s="54"/>
      <c r="F25" s="54"/>
      <c r="G25" s="36"/>
      <c r="H25" s="36"/>
      <c r="I25" s="36"/>
      <c r="J25" s="36"/>
      <c r="K25" s="36"/>
      <c r="L25" s="36"/>
      <c r="M25" s="36"/>
      <c r="N25" s="36"/>
      <c r="O25" s="36"/>
      <c r="P25" s="36"/>
      <c r="Q25" s="54"/>
      <c r="R25" s="54"/>
      <c r="S25" t="str">
        <f>_xlfn.IFNA(VLOOKUP(B25,[4]Functions!$A$5:$B$25,2,FALSE),"NO")</f>
        <v>NO</v>
      </c>
    </row>
    <row r="26" spans="1:19" x14ac:dyDescent="0.55000000000000004">
      <c r="A26" s="9"/>
      <c r="B26" s="63"/>
      <c r="C26" s="4"/>
      <c r="D26" s="4"/>
      <c r="E26" s="54"/>
      <c r="F26" s="54"/>
      <c r="G26" s="36"/>
      <c r="H26" s="36"/>
      <c r="I26" s="36"/>
      <c r="J26" s="36"/>
      <c r="K26" s="36"/>
      <c r="L26" s="36"/>
      <c r="M26" s="36"/>
      <c r="N26" s="36"/>
      <c r="O26" s="36"/>
      <c r="P26" s="36"/>
      <c r="Q26" s="54"/>
      <c r="R26" s="54"/>
      <c r="S26" t="str">
        <f>_xlfn.IFNA(VLOOKUP(B26,[4]Functions!$A$5:$B$25,2,FALSE),"NO")</f>
        <v>NO</v>
      </c>
    </row>
    <row r="27" spans="1:19" x14ac:dyDescent="0.55000000000000004">
      <c r="A27" s="9"/>
      <c r="B27" s="63"/>
      <c r="C27" s="4"/>
      <c r="D27" s="4"/>
      <c r="E27" s="54"/>
      <c r="F27" s="54"/>
      <c r="G27" s="36"/>
      <c r="H27" s="36"/>
      <c r="I27" s="36"/>
      <c r="J27" s="36"/>
      <c r="K27" s="36"/>
      <c r="L27" s="36"/>
      <c r="M27" s="36"/>
      <c r="N27" s="36"/>
      <c r="O27" s="36"/>
      <c r="P27" s="36"/>
      <c r="Q27" s="54"/>
      <c r="R27" s="54"/>
      <c r="S27" t="str">
        <f>_xlfn.IFNA(VLOOKUP(B27,[4]Functions!$A$5:$B$25,2,FALSE),"NO")</f>
        <v>NO</v>
      </c>
    </row>
    <row r="28" spans="1:19" x14ac:dyDescent="0.55000000000000004">
      <c r="A28" s="9"/>
      <c r="B28" s="67"/>
      <c r="C28" s="14"/>
      <c r="D28" s="4"/>
      <c r="E28" s="54"/>
      <c r="F28" s="54"/>
      <c r="G28" s="36"/>
      <c r="H28" s="36"/>
      <c r="I28" s="36"/>
      <c r="J28" s="36"/>
      <c r="K28" s="36"/>
      <c r="L28" s="36"/>
      <c r="M28" s="36"/>
      <c r="N28" s="36"/>
      <c r="O28" s="36"/>
      <c r="P28" s="36"/>
      <c r="Q28" s="54"/>
      <c r="R28" s="54"/>
      <c r="S28" t="str">
        <f>_xlfn.IFNA(VLOOKUP(B28,[4]Functions!$A$5:$B$25,2,FALSE),"NO")</f>
        <v>NO</v>
      </c>
    </row>
    <row r="29" spans="1:19" x14ac:dyDescent="0.55000000000000004">
      <c r="A29" s="9"/>
      <c r="B29" s="67"/>
      <c r="C29" s="14"/>
      <c r="D29" s="4"/>
      <c r="E29" s="54"/>
      <c r="F29" s="54"/>
      <c r="G29" s="36"/>
      <c r="H29" s="36"/>
      <c r="I29" s="36"/>
      <c r="J29" s="36"/>
      <c r="K29" s="36"/>
      <c r="L29" s="36"/>
      <c r="M29" s="36"/>
      <c r="N29" s="36"/>
      <c r="O29" s="36"/>
      <c r="P29" s="36"/>
      <c r="Q29" s="54"/>
      <c r="R29" s="54"/>
      <c r="S29" t="str">
        <f>_xlfn.IFNA(VLOOKUP(B29,[4]Functions!$A$5:$B$25,2,FALSE),"NO")</f>
        <v>NO</v>
      </c>
    </row>
    <row r="30" spans="1:19" x14ac:dyDescent="0.55000000000000004">
      <c r="A30" s="9"/>
      <c r="B30" s="67"/>
      <c r="C30" s="14"/>
      <c r="D30" s="4"/>
      <c r="E30" s="54"/>
      <c r="F30" s="54"/>
      <c r="G30" s="36"/>
      <c r="H30" s="36"/>
      <c r="I30" s="36"/>
      <c r="J30" s="36"/>
      <c r="K30" s="36"/>
      <c r="L30" s="36"/>
      <c r="M30" s="36"/>
      <c r="N30" s="36"/>
      <c r="O30" s="36"/>
      <c r="P30" s="36"/>
      <c r="Q30" s="54"/>
      <c r="R30" s="54"/>
      <c r="S30" t="str">
        <f>_xlfn.IFNA(VLOOKUP(B30,[4]Functions!$A$5:$B$25,2,FALSE),"NO")</f>
        <v>NO</v>
      </c>
    </row>
    <row r="31" spans="1:19" x14ac:dyDescent="0.55000000000000004">
      <c r="A31" s="9"/>
      <c r="B31" s="67"/>
      <c r="C31" s="14"/>
      <c r="D31" s="4"/>
      <c r="E31" s="54"/>
      <c r="F31" s="54"/>
      <c r="G31" s="36"/>
      <c r="H31" s="36"/>
      <c r="I31" s="36"/>
      <c r="J31" s="36"/>
      <c r="K31" s="36"/>
      <c r="L31" s="36"/>
      <c r="M31" s="36"/>
      <c r="N31" s="36"/>
      <c r="O31" s="36"/>
      <c r="P31" s="36"/>
      <c r="Q31" s="54"/>
      <c r="R31" s="54"/>
      <c r="S31" t="str">
        <f>_xlfn.IFNA(VLOOKUP(B31,[4]Functions!$A$5:$B$25,2,FALSE),"NO")</f>
        <v>NO</v>
      </c>
    </row>
    <row r="32" spans="1:19" x14ac:dyDescent="0.55000000000000004">
      <c r="A32" s="9"/>
      <c r="B32" s="67"/>
      <c r="C32" s="14"/>
      <c r="D32" s="4"/>
      <c r="E32" s="54"/>
      <c r="F32" s="54"/>
      <c r="G32" s="36"/>
      <c r="H32" s="36"/>
      <c r="I32" s="36"/>
      <c r="J32" s="36"/>
      <c r="K32" s="36"/>
      <c r="L32" s="36"/>
      <c r="M32" s="36"/>
      <c r="N32" s="36"/>
      <c r="O32" s="36"/>
      <c r="P32" s="36"/>
      <c r="Q32" s="54"/>
      <c r="R32" s="54"/>
      <c r="S32" t="str">
        <f>_xlfn.IFNA(VLOOKUP(B32,[4]Functions!$A$5:$B$25,2,FALSE),"NO")</f>
        <v>NO</v>
      </c>
    </row>
    <row r="33" spans="1:19" x14ac:dyDescent="0.55000000000000004">
      <c r="A33" s="9"/>
      <c r="B33" s="67"/>
      <c r="C33" s="14"/>
      <c r="D33" s="4"/>
      <c r="E33" s="54"/>
      <c r="F33" s="54"/>
      <c r="G33" s="36"/>
      <c r="H33" s="36"/>
      <c r="I33" s="36"/>
      <c r="J33" s="58"/>
      <c r="K33" s="36"/>
      <c r="L33" s="36"/>
      <c r="M33" s="36"/>
      <c r="N33" s="36"/>
      <c r="O33" s="36"/>
      <c r="P33" s="34"/>
      <c r="Q33" s="33"/>
      <c r="R33" s="33"/>
      <c r="S33" t="str">
        <f>_xlfn.IFNA(VLOOKUP(B33,[4]Functions!$A$5:$B$25,2,FALSE),"NO")</f>
        <v>NO</v>
      </c>
    </row>
    <row r="34" spans="1:19" x14ac:dyDescent="0.55000000000000004">
      <c r="A34" s="9"/>
      <c r="B34" s="67"/>
      <c r="C34" s="14"/>
      <c r="D34" s="4"/>
      <c r="E34" s="54"/>
      <c r="F34" s="54"/>
      <c r="G34" s="36"/>
      <c r="H34" s="36"/>
      <c r="I34" s="36"/>
      <c r="J34" s="36"/>
      <c r="K34" s="36"/>
      <c r="L34" s="36"/>
      <c r="M34" s="36"/>
      <c r="N34" s="36"/>
      <c r="O34" s="36"/>
      <c r="P34" s="34"/>
      <c r="Q34" s="33"/>
      <c r="R34" s="33"/>
      <c r="S34" t="str">
        <f>_xlfn.IFNA(VLOOKUP(B34,[4]Functions!$A$5:$B$25,2,FALSE),"NO")</f>
        <v>NO</v>
      </c>
    </row>
    <row r="35" spans="1:19" x14ac:dyDescent="0.55000000000000004">
      <c r="A35" s="9"/>
      <c r="B35" s="67"/>
      <c r="C35" s="14"/>
      <c r="D35" s="14"/>
      <c r="E35" s="33"/>
      <c r="F35" s="33"/>
      <c r="G35" s="34"/>
      <c r="H35" s="34"/>
      <c r="I35" s="34"/>
      <c r="J35" s="34"/>
      <c r="K35" s="34"/>
      <c r="L35" s="34"/>
      <c r="M35" s="34"/>
      <c r="N35" s="34"/>
      <c r="O35" s="34"/>
      <c r="P35" s="34"/>
      <c r="Q35" s="33"/>
      <c r="R35" s="33"/>
      <c r="S35" t="str">
        <f>_xlfn.IFNA(VLOOKUP(B35,[4]Functions!$A$5:$B$25,2,FALSE),"NO")</f>
        <v>NO</v>
      </c>
    </row>
    <row r="36" spans="1:19" x14ac:dyDescent="0.55000000000000004">
      <c r="A36" s="9"/>
      <c r="B36" s="67"/>
      <c r="C36" s="14"/>
      <c r="D36" s="14"/>
      <c r="E36" s="33"/>
      <c r="F36" s="33"/>
      <c r="G36" s="34"/>
      <c r="H36" s="34"/>
      <c r="I36" s="34"/>
      <c r="J36" s="34"/>
      <c r="K36" s="34"/>
      <c r="L36" s="34"/>
      <c r="M36" s="34"/>
      <c r="N36" s="34"/>
      <c r="O36" s="34"/>
      <c r="P36" s="34"/>
      <c r="Q36" s="33"/>
      <c r="R36" s="33"/>
      <c r="S36" s="116" t="str">
        <f>_xlfn.IFNA(VLOOKUP(B36,[4]Functions!$A$5:$B$25,2,FALSE),"NO")</f>
        <v>NO</v>
      </c>
    </row>
    <row r="37" spans="1:19" s="15" customFormat="1" x14ac:dyDescent="0.55000000000000004">
      <c r="A37" s="9"/>
      <c r="B37" s="67"/>
      <c r="C37" s="14"/>
      <c r="D37" s="14"/>
      <c r="E37" s="33"/>
      <c r="F37" s="33"/>
      <c r="G37" s="34"/>
      <c r="H37" s="34"/>
      <c r="I37" s="34"/>
      <c r="J37" s="34"/>
      <c r="K37" s="34"/>
      <c r="L37" s="34"/>
      <c r="M37" s="34"/>
      <c r="N37" s="34"/>
      <c r="O37" s="34"/>
      <c r="P37" s="34"/>
      <c r="Q37" s="33"/>
      <c r="R37" s="33"/>
      <c r="S37" s="116" t="str">
        <f>_xlfn.IFNA(VLOOKUP(B37,[4]Functions!$A$5:$B$25,2,FALSE),"NO")</f>
        <v>NO</v>
      </c>
    </row>
    <row r="38" spans="1:19" x14ac:dyDescent="0.55000000000000004">
      <c r="A38" s="9"/>
      <c r="B38" s="67"/>
      <c r="C38" s="14"/>
      <c r="D38" s="14"/>
      <c r="E38" s="33"/>
      <c r="F38" s="33"/>
      <c r="G38" s="34"/>
      <c r="H38" s="34"/>
      <c r="I38" s="34"/>
      <c r="J38" s="34"/>
      <c r="K38" s="34"/>
      <c r="L38" s="34"/>
      <c r="M38" s="34"/>
      <c r="N38" s="34"/>
      <c r="O38" s="34"/>
      <c r="P38" s="34"/>
      <c r="Q38" s="33"/>
      <c r="R38" s="33"/>
      <c r="S38" s="116" t="str">
        <f>_xlfn.IFNA(VLOOKUP(B38,[4]Functions!$A$5:$B$25,2,FALSE),"NO")</f>
        <v>NO</v>
      </c>
    </row>
    <row r="39" spans="1:19" x14ac:dyDescent="0.55000000000000004">
      <c r="A39" s="9"/>
      <c r="B39" s="67"/>
      <c r="C39" s="14"/>
      <c r="D39" s="14"/>
      <c r="E39" s="33"/>
      <c r="F39" s="33"/>
      <c r="G39" s="34"/>
      <c r="H39" s="34"/>
      <c r="I39" s="34"/>
      <c r="J39" s="34"/>
      <c r="K39" s="34"/>
      <c r="L39" s="34"/>
      <c r="M39" s="34"/>
      <c r="N39" s="34"/>
      <c r="O39" s="34"/>
      <c r="P39" s="34"/>
      <c r="Q39" s="33"/>
      <c r="R39" s="33"/>
      <c r="S39" s="116" t="str">
        <f>_xlfn.IFNA(VLOOKUP(B39,[4]Functions!$A$5:$B$25,2,FALSE),"NO")</f>
        <v>NO</v>
      </c>
    </row>
    <row r="40" spans="1:19" x14ac:dyDescent="0.55000000000000004">
      <c r="A40" s="9"/>
      <c r="B40" s="67"/>
      <c r="C40" s="14"/>
      <c r="D40" s="14"/>
      <c r="E40" s="33"/>
      <c r="F40" s="33"/>
      <c r="G40" s="34"/>
      <c r="H40" s="34"/>
      <c r="I40" s="34"/>
      <c r="J40" s="34"/>
      <c r="K40" s="34"/>
      <c r="L40" s="34"/>
      <c r="M40" s="34"/>
      <c r="N40" s="34"/>
      <c r="O40" s="34"/>
      <c r="P40" s="34"/>
      <c r="Q40" s="33"/>
      <c r="R40" s="33"/>
      <c r="S40" s="116" t="str">
        <f>_xlfn.IFNA(VLOOKUP(B40,[4]Functions!$A$5:$B$25,2,FALSE),"NO")</f>
        <v>NO</v>
      </c>
    </row>
    <row r="41" spans="1:19" x14ac:dyDescent="0.55000000000000004">
      <c r="A41" s="9"/>
      <c r="B41" s="67"/>
      <c r="C41" s="14"/>
      <c r="D41" s="14"/>
      <c r="E41" s="33"/>
      <c r="F41" s="33"/>
      <c r="G41" s="34"/>
      <c r="H41" s="34"/>
      <c r="I41" s="34"/>
      <c r="J41" s="34"/>
      <c r="K41" s="34"/>
      <c r="L41" s="34"/>
      <c r="M41" s="34"/>
      <c r="N41" s="34"/>
      <c r="O41" s="34"/>
      <c r="P41" s="34"/>
      <c r="Q41" s="33"/>
      <c r="R41" s="33"/>
      <c r="S41" s="116" t="str">
        <f>_xlfn.IFNA(VLOOKUP(B41,[4]Functions!$A$5:$B$25,2,FALSE),"NO")</f>
        <v>NO</v>
      </c>
    </row>
    <row r="42" spans="1:19" x14ac:dyDescent="0.55000000000000004">
      <c r="A42" s="9"/>
      <c r="B42" s="67"/>
      <c r="C42" s="14"/>
      <c r="D42" s="14"/>
      <c r="E42" s="33"/>
      <c r="F42" s="33"/>
      <c r="G42" s="34"/>
      <c r="H42" s="34"/>
      <c r="I42" s="34"/>
      <c r="J42" s="34"/>
      <c r="K42" s="34"/>
      <c r="L42" s="34"/>
      <c r="M42" s="34"/>
      <c r="N42" s="34"/>
      <c r="O42" s="34"/>
      <c r="P42" s="34"/>
      <c r="Q42" s="33"/>
      <c r="R42" s="33"/>
      <c r="S42" s="116" t="str">
        <f>_xlfn.IFNA(VLOOKUP(B42,[4]Functions!$A$5:$B$25,2,FALSE),"NO")</f>
        <v>NO</v>
      </c>
    </row>
    <row r="43" spans="1:19" x14ac:dyDescent="0.55000000000000004">
      <c r="A43" s="9"/>
      <c r="B43" s="67"/>
      <c r="C43" s="14"/>
      <c r="D43" s="14"/>
      <c r="E43" s="33"/>
      <c r="F43" s="33"/>
      <c r="G43" s="34"/>
      <c r="H43" s="34"/>
      <c r="I43" s="34"/>
      <c r="J43" s="34"/>
      <c r="K43" s="34"/>
      <c r="L43" s="34"/>
      <c r="M43" s="34"/>
      <c r="N43" s="34"/>
      <c r="O43" s="34"/>
      <c r="P43" s="34"/>
      <c r="Q43" s="33"/>
      <c r="R43" s="33"/>
      <c r="S43" s="116" t="str">
        <f>_xlfn.IFNA(VLOOKUP(B43,[4]Functions!$A$5:$B$25,2,FALSE),"NO")</f>
        <v>NO</v>
      </c>
    </row>
    <row r="44" spans="1:19" x14ac:dyDescent="0.55000000000000004">
      <c r="A44" s="9"/>
      <c r="B44" s="67"/>
      <c r="C44" s="14"/>
      <c r="D44" s="14"/>
      <c r="E44" s="33"/>
      <c r="F44" s="33"/>
      <c r="G44" s="34"/>
      <c r="H44" s="34"/>
      <c r="I44" s="34"/>
      <c r="J44" s="34"/>
      <c r="K44" s="34"/>
      <c r="L44" s="34"/>
      <c r="M44" s="34"/>
      <c r="N44" s="34"/>
      <c r="O44" s="34"/>
      <c r="P44" s="34"/>
      <c r="Q44" s="33"/>
      <c r="R44" s="33"/>
      <c r="S44" s="116" t="str">
        <f>_xlfn.IFNA(VLOOKUP(B44,[4]Functions!$A$5:$B$25,2,FALSE),"NO")</f>
        <v>NO</v>
      </c>
    </row>
    <row r="45" spans="1:19" x14ac:dyDescent="0.55000000000000004">
      <c r="A45" s="9"/>
      <c r="B45" s="67"/>
      <c r="C45" s="14"/>
      <c r="D45" s="14"/>
      <c r="E45" s="33"/>
      <c r="F45" s="33"/>
      <c r="G45" s="34"/>
      <c r="H45" s="34"/>
      <c r="I45" s="34"/>
      <c r="J45" s="34"/>
      <c r="K45" s="34"/>
      <c r="L45" s="34"/>
      <c r="M45" s="34"/>
      <c r="N45" s="34"/>
      <c r="O45" s="34"/>
      <c r="P45" s="34"/>
      <c r="Q45" s="33"/>
      <c r="R45" s="33"/>
      <c r="S45" s="116" t="str">
        <f>_xlfn.IFNA(VLOOKUP(B45,[4]Functions!$A$5:$B$25,2,FALSE),"NO")</f>
        <v>NO</v>
      </c>
    </row>
    <row r="46" spans="1:19" x14ac:dyDescent="0.55000000000000004">
      <c r="A46" s="9"/>
      <c r="B46" s="67"/>
      <c r="C46" s="14"/>
      <c r="D46" s="14"/>
      <c r="E46" s="33"/>
      <c r="F46" s="33"/>
      <c r="G46" s="34"/>
      <c r="H46" s="34"/>
      <c r="I46" s="34"/>
      <c r="J46" s="34"/>
      <c r="K46" s="34"/>
      <c r="L46" s="34"/>
      <c r="M46" s="34"/>
      <c r="N46" s="34"/>
      <c r="O46" s="34"/>
      <c r="P46" s="34"/>
      <c r="Q46" s="33"/>
      <c r="R46" s="33"/>
      <c r="S46" s="116" t="str">
        <f>_xlfn.IFNA(VLOOKUP(B46,[4]Functions!$A$5:$B$25,2,FALSE),"NO")</f>
        <v>NO</v>
      </c>
    </row>
    <row r="47" spans="1:19" x14ac:dyDescent="0.55000000000000004">
      <c r="A47" s="9"/>
      <c r="B47" s="67"/>
      <c r="C47" s="14"/>
      <c r="D47" s="14"/>
      <c r="E47" s="33"/>
      <c r="F47" s="33"/>
      <c r="G47" s="34"/>
      <c r="H47" s="34"/>
      <c r="I47" s="34"/>
      <c r="J47" s="34"/>
      <c r="K47" s="34"/>
      <c r="L47" s="34"/>
      <c r="M47" s="34"/>
      <c r="N47" s="34"/>
      <c r="O47" s="34"/>
      <c r="P47" s="34"/>
      <c r="Q47" s="33"/>
      <c r="R47" s="33"/>
      <c r="S47" s="116" t="str">
        <f>_xlfn.IFNA(VLOOKUP(B47,[4]Functions!$A$5:$B$25,2,FALSE),"NO")</f>
        <v>NO</v>
      </c>
    </row>
    <row r="48" spans="1:19" x14ac:dyDescent="0.55000000000000004">
      <c r="A48" s="9"/>
      <c r="B48" s="67"/>
      <c r="C48" s="14"/>
      <c r="D48" s="14"/>
      <c r="E48" s="33"/>
      <c r="F48" s="33"/>
      <c r="G48" s="34"/>
      <c r="H48" s="34"/>
      <c r="I48" s="34"/>
      <c r="J48" s="34"/>
      <c r="K48" s="34"/>
      <c r="L48" s="34"/>
      <c r="M48" s="34"/>
      <c r="N48" s="34"/>
      <c r="O48" s="34"/>
      <c r="P48" s="34"/>
      <c r="Q48" s="33"/>
      <c r="R48" s="33"/>
      <c r="S48" s="116" t="str">
        <f>_xlfn.IFNA(VLOOKUP(B48,[4]Functions!$A$5:$B$25,2,FALSE),"NO")</f>
        <v>NO</v>
      </c>
    </row>
    <row r="49" spans="1:19" x14ac:dyDescent="0.55000000000000004">
      <c r="A49" s="9"/>
      <c r="B49" s="67"/>
      <c r="C49" s="14"/>
      <c r="D49" s="14"/>
      <c r="E49" s="33"/>
      <c r="F49" s="33"/>
      <c r="G49" s="34"/>
      <c r="H49" s="34"/>
      <c r="I49" s="34"/>
      <c r="J49" s="34"/>
      <c r="K49" s="34"/>
      <c r="L49" s="34"/>
      <c r="M49" s="34"/>
      <c r="N49" s="34"/>
      <c r="O49" s="34"/>
      <c r="P49" s="34"/>
      <c r="Q49" s="33"/>
      <c r="R49" s="33"/>
      <c r="S49" s="116" t="str">
        <f>_xlfn.IFNA(VLOOKUP(B49,[4]Functions!$A$5:$B$25,2,FALSE),"NO")</f>
        <v>NO</v>
      </c>
    </row>
    <row r="50" spans="1:19" x14ac:dyDescent="0.55000000000000004">
      <c r="A50" s="9"/>
      <c r="B50" s="67"/>
      <c r="C50" s="14"/>
      <c r="D50" s="14"/>
      <c r="E50" s="33"/>
      <c r="F50" s="33"/>
      <c r="G50" s="34"/>
      <c r="H50" s="34"/>
      <c r="I50" s="34"/>
      <c r="J50" s="34"/>
      <c r="K50" s="34"/>
      <c r="L50" s="34"/>
      <c r="M50" s="34"/>
      <c r="N50" s="34"/>
      <c r="O50" s="34"/>
      <c r="P50" s="34"/>
      <c r="Q50" s="33"/>
      <c r="R50" s="33"/>
      <c r="S50" s="116" t="str">
        <f>_xlfn.IFNA(VLOOKUP(B50,[4]Functions!$A$5:$B$25,2,FALSE),"NO")</f>
        <v>NO</v>
      </c>
    </row>
    <row r="51" spans="1:19" x14ac:dyDescent="0.55000000000000004">
      <c r="A51" s="9"/>
      <c r="B51" s="67"/>
      <c r="C51" s="14"/>
      <c r="D51" s="14"/>
      <c r="E51" s="33"/>
      <c r="F51" s="33"/>
      <c r="G51" s="34"/>
      <c r="H51" s="34"/>
      <c r="I51" s="34"/>
      <c r="J51" s="34"/>
      <c r="K51" s="34"/>
      <c r="L51" s="34"/>
      <c r="M51" s="34"/>
      <c r="N51" s="34"/>
      <c r="O51" s="34"/>
      <c r="P51" s="34"/>
      <c r="Q51" s="33"/>
      <c r="R51" s="33"/>
      <c r="S51" s="116" t="str">
        <f>_xlfn.IFNA(VLOOKUP(B51,[4]Functions!$A$5:$B$25,2,FALSE),"NO")</f>
        <v>NO</v>
      </c>
    </row>
    <row r="52" spans="1:19" x14ac:dyDescent="0.55000000000000004">
      <c r="A52" s="9"/>
      <c r="B52" s="67"/>
      <c r="C52" s="14"/>
      <c r="D52" s="14"/>
      <c r="E52" s="33"/>
      <c r="F52" s="33"/>
      <c r="G52" s="34"/>
      <c r="H52" s="34"/>
      <c r="I52" s="34"/>
      <c r="J52" s="34"/>
      <c r="K52" s="34"/>
      <c r="L52" s="34"/>
      <c r="M52" s="34"/>
      <c r="N52" s="34"/>
      <c r="O52" s="34"/>
      <c r="P52" s="34"/>
      <c r="Q52" s="33"/>
      <c r="R52" s="33"/>
      <c r="S52" s="116" t="str">
        <f>_xlfn.IFNA(VLOOKUP(B52,[4]Functions!$A$5:$B$25,2,FALSE),"NO")</f>
        <v>NO</v>
      </c>
    </row>
    <row r="53" spans="1:19" x14ac:dyDescent="0.55000000000000004">
      <c r="A53" s="9"/>
      <c r="B53" s="67"/>
      <c r="C53" s="14"/>
      <c r="D53" s="14"/>
      <c r="E53" s="33"/>
      <c r="F53" s="33"/>
      <c r="G53" s="34"/>
      <c r="H53" s="34"/>
      <c r="I53" s="34"/>
      <c r="J53" s="34"/>
      <c r="K53" s="34"/>
      <c r="L53" s="34"/>
      <c r="M53" s="34"/>
      <c r="N53" s="34"/>
      <c r="O53" s="34"/>
      <c r="P53" s="34"/>
      <c r="Q53" s="33"/>
      <c r="R53" s="33"/>
      <c r="S53" s="116" t="str">
        <f>_xlfn.IFNA(VLOOKUP(B53,[4]Functions!$A$5:$B$25,2,FALSE),"NO")</f>
        <v>NO</v>
      </c>
    </row>
    <row r="54" spans="1:19" x14ac:dyDescent="0.55000000000000004">
      <c r="A54" s="9"/>
      <c r="B54" s="67"/>
      <c r="C54" s="14"/>
      <c r="D54" s="14"/>
      <c r="E54" s="33"/>
      <c r="F54" s="33"/>
      <c r="G54" s="34"/>
      <c r="H54" s="34"/>
      <c r="I54" s="34"/>
      <c r="J54" s="34"/>
      <c r="K54" s="34"/>
      <c r="L54" s="34"/>
      <c r="M54" s="34"/>
      <c r="N54" s="34"/>
      <c r="O54" s="34"/>
      <c r="P54" s="34"/>
      <c r="Q54" s="33"/>
      <c r="R54" s="33"/>
      <c r="S54" s="116" t="str">
        <f>_xlfn.IFNA(VLOOKUP(B54,[4]Functions!$A$5:$B$25,2,FALSE),"NO")</f>
        <v>NO</v>
      </c>
    </row>
    <row r="55" spans="1:19" x14ac:dyDescent="0.55000000000000004">
      <c r="A55" s="9"/>
      <c r="B55" s="67"/>
      <c r="C55" s="14"/>
      <c r="D55" s="14"/>
      <c r="E55" s="33"/>
      <c r="F55" s="33"/>
      <c r="G55" s="34"/>
      <c r="H55" s="34"/>
      <c r="I55" s="34"/>
      <c r="J55" s="34"/>
      <c r="K55" s="34"/>
      <c r="L55" s="34"/>
      <c r="M55" s="34"/>
      <c r="N55" s="34"/>
      <c r="O55" s="34"/>
      <c r="P55" s="34"/>
      <c r="Q55" s="33"/>
      <c r="R55" s="33"/>
      <c r="S55" s="116" t="str">
        <f>_xlfn.IFNA(VLOOKUP(B55,[4]Functions!$A$5:$B$25,2,FALSE),"NO")</f>
        <v>NO</v>
      </c>
    </row>
    <row r="56" spans="1:19" x14ac:dyDescent="0.55000000000000004">
      <c r="A56" s="9"/>
      <c r="B56" s="67"/>
      <c r="C56" s="14"/>
      <c r="D56" s="14"/>
      <c r="E56" s="33"/>
      <c r="F56" s="33"/>
      <c r="G56" s="34"/>
      <c r="H56" s="34"/>
      <c r="I56" s="34"/>
      <c r="J56" s="34"/>
      <c r="K56" s="34"/>
      <c r="L56" s="34"/>
      <c r="M56" s="34"/>
      <c r="N56" s="34"/>
      <c r="O56" s="34"/>
      <c r="P56" s="34"/>
      <c r="Q56" s="33"/>
      <c r="R56" s="33"/>
      <c r="S56" s="116" t="str">
        <f>_xlfn.IFNA(VLOOKUP(B56,[4]Functions!$A$5:$B$25,2,FALSE),"NO")</f>
        <v>NO</v>
      </c>
    </row>
    <row r="57" spans="1:19" x14ac:dyDescent="0.55000000000000004">
      <c r="A57" s="9"/>
      <c r="B57" s="67"/>
      <c r="C57" s="14"/>
      <c r="D57" s="14"/>
      <c r="E57" s="33"/>
      <c r="F57" s="33"/>
      <c r="G57" s="34"/>
      <c r="H57" s="34"/>
      <c r="I57" s="34"/>
      <c r="J57" s="34"/>
      <c r="K57" s="34"/>
      <c r="L57" s="34"/>
      <c r="M57" s="34"/>
      <c r="N57" s="34"/>
      <c r="O57" s="34"/>
      <c r="P57" s="34"/>
      <c r="Q57" s="33"/>
      <c r="R57" s="33"/>
      <c r="S57" s="116" t="str">
        <f>_xlfn.IFNA(VLOOKUP(B57,[4]Functions!$A$5:$B$25,2,FALSE),"NO")</f>
        <v>NO</v>
      </c>
    </row>
    <row r="58" spans="1:19" x14ac:dyDescent="0.55000000000000004">
      <c r="A58" s="9"/>
      <c r="B58" s="67"/>
      <c r="C58" s="14"/>
      <c r="D58" s="14"/>
      <c r="E58" s="33"/>
      <c r="F58" s="33"/>
      <c r="G58" s="34"/>
      <c r="H58" s="34"/>
      <c r="I58" s="34"/>
      <c r="J58" s="34"/>
      <c r="K58" s="34"/>
      <c r="L58" s="34"/>
      <c r="M58" s="34"/>
      <c r="N58" s="34"/>
      <c r="O58" s="34"/>
      <c r="P58" s="34"/>
      <c r="Q58" s="33"/>
      <c r="R58" s="33"/>
      <c r="S58" s="116" t="str">
        <f>_xlfn.IFNA(VLOOKUP(B58,[4]Functions!$A$5:$B$25,2,FALSE),"NO")</f>
        <v>NO</v>
      </c>
    </row>
    <row r="59" spans="1:19" x14ac:dyDescent="0.55000000000000004">
      <c r="A59" s="9"/>
      <c r="B59" s="67"/>
      <c r="C59" s="14"/>
      <c r="D59" s="14"/>
      <c r="E59" s="33"/>
      <c r="F59" s="33"/>
      <c r="G59" s="34"/>
      <c r="H59" s="34"/>
      <c r="I59" s="34"/>
      <c r="J59" s="34"/>
      <c r="K59" s="34"/>
      <c r="L59" s="34"/>
      <c r="M59" s="34"/>
      <c r="N59" s="34"/>
      <c r="O59" s="34"/>
      <c r="P59" s="34"/>
      <c r="Q59" s="33"/>
      <c r="R59" s="33"/>
      <c r="S59" s="116" t="str">
        <f>_xlfn.IFNA(VLOOKUP(B59,[4]Functions!$A$5:$B$25,2,FALSE),"NO")</f>
        <v>NO</v>
      </c>
    </row>
    <row r="60" spans="1:19" x14ac:dyDescent="0.55000000000000004">
      <c r="A60" s="9"/>
      <c r="B60" s="67"/>
      <c r="C60" s="14"/>
      <c r="D60" s="14"/>
      <c r="E60" s="33"/>
      <c r="F60" s="33"/>
      <c r="G60" s="34"/>
      <c r="H60" s="34"/>
      <c r="I60" s="34"/>
      <c r="J60" s="34"/>
      <c r="K60" s="34"/>
      <c r="L60" s="34"/>
      <c r="M60" s="34"/>
      <c r="N60" s="34"/>
      <c r="O60" s="34"/>
      <c r="P60" s="34"/>
      <c r="Q60" s="33"/>
      <c r="R60" s="33"/>
      <c r="S60" s="116" t="str">
        <f>_xlfn.IFNA(VLOOKUP(B60,[4]Functions!$A$5:$B$25,2,FALSE),"NO")</f>
        <v>NO</v>
      </c>
    </row>
    <row r="61" spans="1:19" x14ac:dyDescent="0.55000000000000004">
      <c r="A61" s="9"/>
      <c r="B61" s="67"/>
      <c r="C61" s="14"/>
      <c r="D61" s="14"/>
      <c r="E61" s="33"/>
      <c r="F61" s="33"/>
      <c r="G61" s="34"/>
      <c r="H61" s="34"/>
      <c r="I61" s="34"/>
      <c r="J61" s="34"/>
      <c r="K61" s="34"/>
      <c r="L61" s="34"/>
      <c r="M61" s="34"/>
      <c r="N61" s="34"/>
      <c r="O61" s="34"/>
      <c r="P61" s="34"/>
      <c r="Q61" s="33"/>
      <c r="R61" s="33"/>
      <c r="S61" s="116" t="str">
        <f>_xlfn.IFNA(VLOOKUP(B61,[4]Functions!$A$5:$B$25,2,FALSE),"NO")</f>
        <v>NO</v>
      </c>
    </row>
    <row r="62" spans="1:19" x14ac:dyDescent="0.55000000000000004">
      <c r="A62" s="9"/>
      <c r="B62" s="67"/>
      <c r="C62" s="14"/>
      <c r="D62" s="14"/>
      <c r="E62" s="33"/>
      <c r="F62" s="33"/>
      <c r="G62" s="34"/>
      <c r="H62" s="34"/>
      <c r="I62" s="34"/>
      <c r="J62" s="34"/>
      <c r="K62" s="34"/>
      <c r="L62" s="34"/>
      <c r="M62" s="34"/>
      <c r="N62" s="34"/>
      <c r="O62" s="34"/>
      <c r="P62" s="34"/>
      <c r="Q62" s="33"/>
      <c r="R62" s="33"/>
      <c r="S62" s="116" t="str">
        <f>_xlfn.IFNA(VLOOKUP(B62,[4]Functions!$A$5:$B$25,2,FALSE),"NO")</f>
        <v>NO</v>
      </c>
    </row>
    <row r="63" spans="1:19" x14ac:dyDescent="0.55000000000000004">
      <c r="A63" s="9"/>
      <c r="B63" s="67"/>
      <c r="C63" s="14"/>
      <c r="D63" s="14"/>
      <c r="E63" s="33"/>
      <c r="F63" s="33"/>
      <c r="G63" s="34"/>
      <c r="H63" s="34"/>
      <c r="I63" s="34"/>
      <c r="J63" s="34"/>
      <c r="K63" s="34"/>
      <c r="L63" s="34"/>
      <c r="M63" s="34"/>
      <c r="N63" s="34"/>
      <c r="O63" s="34"/>
      <c r="P63" s="34"/>
      <c r="Q63" s="33"/>
      <c r="R63" s="33"/>
      <c r="S63" s="116" t="str">
        <f>_xlfn.IFNA(VLOOKUP(B63,[4]Functions!$A$5:$B$25,2,FALSE),"NO")</f>
        <v>NO</v>
      </c>
    </row>
    <row r="64" spans="1:19" x14ac:dyDescent="0.55000000000000004">
      <c r="A64" s="9"/>
      <c r="B64" s="67"/>
      <c r="C64" s="14"/>
      <c r="D64" s="14"/>
      <c r="E64" s="33"/>
      <c r="F64" s="33"/>
      <c r="G64" s="34"/>
      <c r="H64" s="34"/>
      <c r="I64" s="34"/>
      <c r="J64" s="34"/>
      <c r="K64" s="34"/>
      <c r="L64" s="34"/>
      <c r="M64" s="34"/>
      <c r="N64" s="34"/>
      <c r="O64" s="34"/>
      <c r="P64" s="34"/>
      <c r="Q64" s="33"/>
      <c r="R64" s="33"/>
      <c r="S64" s="116" t="str">
        <f>_xlfn.IFNA(VLOOKUP(B64,[4]Functions!$A$5:$B$25,2,FALSE),"NO")</f>
        <v>NO</v>
      </c>
    </row>
    <row r="65" spans="1:19" x14ac:dyDescent="0.55000000000000004">
      <c r="A65" s="9"/>
      <c r="B65" s="67"/>
      <c r="C65" s="14"/>
      <c r="D65" s="14"/>
      <c r="E65" s="33"/>
      <c r="F65" s="33"/>
      <c r="G65" s="34"/>
      <c r="H65" s="34"/>
      <c r="I65" s="34"/>
      <c r="J65" s="34"/>
      <c r="K65" s="34"/>
      <c r="L65" s="34"/>
      <c r="M65" s="34"/>
      <c r="N65" s="34"/>
      <c r="O65" s="34"/>
      <c r="P65" s="34"/>
      <c r="Q65" s="33"/>
      <c r="R65" s="33"/>
      <c r="S65" s="116" t="str">
        <f>_xlfn.IFNA(VLOOKUP(B65,[4]Functions!$A$5:$B$25,2,FALSE),"NO")</f>
        <v>NO</v>
      </c>
    </row>
    <row r="66" spans="1:19" x14ac:dyDescent="0.55000000000000004">
      <c r="A66" s="9"/>
      <c r="B66" s="67"/>
      <c r="C66" s="14"/>
      <c r="D66" s="14"/>
      <c r="E66" s="33"/>
      <c r="F66" s="33"/>
      <c r="G66" s="34"/>
      <c r="H66" s="34"/>
      <c r="I66" s="34"/>
      <c r="J66" s="34"/>
      <c r="K66" s="34"/>
      <c r="L66" s="34"/>
      <c r="M66" s="34"/>
      <c r="N66" s="34"/>
      <c r="O66" s="34"/>
      <c r="P66" s="34"/>
      <c r="Q66" s="33"/>
      <c r="R66" s="33"/>
      <c r="S66" s="116" t="str">
        <f>_xlfn.IFNA(VLOOKUP(B66,[4]Functions!$A$5:$B$25,2,FALSE),"NO")</f>
        <v>NO</v>
      </c>
    </row>
    <row r="67" spans="1:19" x14ac:dyDescent="0.55000000000000004">
      <c r="A67" s="9"/>
      <c r="B67" s="67"/>
      <c r="C67" s="14"/>
      <c r="D67" s="14"/>
      <c r="E67" s="33"/>
      <c r="F67" s="33"/>
      <c r="G67" s="34"/>
      <c r="H67" s="34"/>
      <c r="I67" s="34"/>
      <c r="J67" s="34"/>
      <c r="K67" s="34"/>
      <c r="L67" s="34"/>
      <c r="M67" s="34"/>
      <c r="N67" s="34"/>
      <c r="O67" s="34"/>
      <c r="P67" s="34"/>
      <c r="Q67" s="33"/>
      <c r="R67" s="33"/>
      <c r="S67" s="116" t="str">
        <f>_xlfn.IFNA(VLOOKUP(B67,[4]Functions!$A$5:$B$25,2,FALSE),"NO")</f>
        <v>NO</v>
      </c>
    </row>
    <row r="68" spans="1:19" x14ac:dyDescent="0.55000000000000004">
      <c r="A68" s="9"/>
      <c r="B68" s="67"/>
      <c r="C68" s="14"/>
      <c r="D68" s="14"/>
      <c r="E68" s="33"/>
      <c r="F68" s="33"/>
      <c r="G68" s="34"/>
      <c r="H68" s="34"/>
      <c r="I68" s="34"/>
      <c r="J68" s="34"/>
      <c r="K68" s="34"/>
      <c r="L68" s="34"/>
      <c r="M68" s="34"/>
      <c r="N68" s="34"/>
      <c r="O68" s="34"/>
      <c r="P68" s="34"/>
      <c r="Q68" s="33"/>
      <c r="R68" s="33"/>
      <c r="S68" s="116" t="str">
        <f>_xlfn.IFNA(VLOOKUP(B68,[4]Functions!$A$5:$B$25,2,FALSE),"NO")</f>
        <v>NO</v>
      </c>
    </row>
    <row r="69" spans="1:19" x14ac:dyDescent="0.55000000000000004">
      <c r="A69" s="9"/>
      <c r="B69" s="67"/>
      <c r="C69" s="14"/>
      <c r="D69" s="14"/>
      <c r="E69" s="33"/>
      <c r="F69" s="33"/>
      <c r="G69" s="34"/>
      <c r="H69" s="34"/>
      <c r="I69" s="34"/>
      <c r="J69" s="34"/>
      <c r="K69" s="34"/>
      <c r="L69" s="34"/>
      <c r="M69" s="34"/>
      <c r="N69" s="34"/>
      <c r="O69" s="34"/>
      <c r="P69" s="34"/>
      <c r="Q69" s="33"/>
      <c r="R69" s="33"/>
      <c r="S69" s="116" t="str">
        <f>_xlfn.IFNA(VLOOKUP(B69,[4]Functions!$A$5:$B$25,2,FALSE),"NO")</f>
        <v>NO</v>
      </c>
    </row>
    <row r="70" spans="1:19" x14ac:dyDescent="0.55000000000000004">
      <c r="A70" s="9"/>
      <c r="B70" s="67"/>
      <c r="C70" s="14"/>
      <c r="D70" s="14"/>
      <c r="E70" s="33"/>
      <c r="F70" s="33"/>
      <c r="G70" s="34"/>
      <c r="H70" s="34"/>
      <c r="I70" s="34"/>
      <c r="J70" s="34"/>
      <c r="K70" s="34"/>
      <c r="L70" s="34"/>
      <c r="M70" s="34"/>
      <c r="N70" s="34"/>
      <c r="O70" s="34"/>
      <c r="P70" s="34"/>
      <c r="Q70" s="33"/>
      <c r="R70" s="33"/>
      <c r="S70" s="116" t="str">
        <f>_xlfn.IFNA(VLOOKUP(B70,[4]Functions!$A$5:$B$25,2,FALSE),"NO")</f>
        <v>NO</v>
      </c>
    </row>
    <row r="71" spans="1:19" x14ac:dyDescent="0.55000000000000004">
      <c r="A71" s="9"/>
      <c r="B71" s="67"/>
      <c r="C71" s="14"/>
      <c r="D71" s="14"/>
      <c r="E71" s="33"/>
      <c r="F71" s="33"/>
      <c r="G71" s="34"/>
      <c r="H71" s="34"/>
      <c r="I71" s="34"/>
      <c r="J71" s="34"/>
      <c r="K71" s="34"/>
      <c r="L71" s="34"/>
      <c r="M71" s="34"/>
      <c r="N71" s="34"/>
      <c r="O71" s="34"/>
      <c r="P71" s="34"/>
      <c r="Q71" s="33"/>
      <c r="R71" s="33"/>
      <c r="S71" s="116" t="str">
        <f>_xlfn.IFNA(VLOOKUP(B71,[4]Functions!$A$5:$B$25,2,FALSE),"NO")</f>
        <v>NO</v>
      </c>
    </row>
    <row r="72" spans="1:19" x14ac:dyDescent="0.55000000000000004">
      <c r="A72" s="9"/>
      <c r="B72" s="67"/>
      <c r="C72" s="14"/>
      <c r="D72" s="14"/>
      <c r="E72" s="33"/>
      <c r="F72" s="33"/>
      <c r="G72" s="34"/>
      <c r="H72" s="34"/>
      <c r="I72" s="34"/>
      <c r="J72" s="34"/>
      <c r="K72" s="34"/>
      <c r="L72" s="34"/>
      <c r="M72" s="34"/>
      <c r="N72" s="34"/>
      <c r="O72" s="34"/>
      <c r="P72" s="34"/>
      <c r="Q72" s="33"/>
      <c r="R72" s="33"/>
      <c r="S72" s="116" t="str">
        <f>_xlfn.IFNA(VLOOKUP(B72,[4]Functions!$A$5:$B$25,2,FALSE),"NO")</f>
        <v>NO</v>
      </c>
    </row>
    <row r="73" spans="1:19" x14ac:dyDescent="0.55000000000000004">
      <c r="A73" s="9"/>
      <c r="B73" s="67"/>
      <c r="C73" s="14"/>
      <c r="D73" s="14"/>
      <c r="E73" s="33"/>
      <c r="F73" s="33"/>
      <c r="G73" s="34"/>
      <c r="H73" s="34"/>
      <c r="I73" s="34"/>
      <c r="J73" s="34"/>
      <c r="K73" s="34"/>
      <c r="L73" s="34"/>
      <c r="M73" s="34"/>
      <c r="N73" s="34"/>
      <c r="O73" s="34"/>
      <c r="P73" s="34"/>
      <c r="Q73" s="33"/>
      <c r="R73" s="33"/>
      <c r="S73" s="116" t="str">
        <f>_xlfn.IFNA(VLOOKUP(B73,[4]Functions!$A$5:$B$25,2,FALSE),"NO")</f>
        <v>NO</v>
      </c>
    </row>
    <row r="74" spans="1:19" x14ac:dyDescent="0.55000000000000004">
      <c r="A74" s="9"/>
      <c r="B74" s="67"/>
      <c r="C74" s="14"/>
      <c r="D74" s="14"/>
      <c r="E74" s="33"/>
      <c r="F74" s="33"/>
      <c r="G74" s="34"/>
      <c r="H74" s="34"/>
      <c r="I74" s="34"/>
      <c r="J74" s="34"/>
      <c r="K74" s="34"/>
      <c r="L74" s="34"/>
      <c r="M74" s="34"/>
      <c r="N74" s="34"/>
      <c r="O74" s="34"/>
      <c r="P74" s="34"/>
      <c r="Q74" s="33"/>
      <c r="R74" s="33"/>
      <c r="S74" s="116" t="str">
        <f>_xlfn.IFNA(VLOOKUP(B74,[4]Functions!$A$5:$B$25,2,FALSE),"NO")</f>
        <v>NO</v>
      </c>
    </row>
    <row r="75" spans="1:19" x14ac:dyDescent="0.55000000000000004">
      <c r="A75" s="9"/>
      <c r="B75" s="67"/>
      <c r="C75" s="14"/>
      <c r="D75" s="14"/>
      <c r="E75" s="33"/>
      <c r="F75" s="33"/>
      <c r="G75" s="34"/>
      <c r="H75" s="34"/>
      <c r="I75" s="34"/>
      <c r="J75" s="34"/>
      <c r="K75" s="34"/>
      <c r="L75" s="34"/>
      <c r="M75" s="34"/>
      <c r="N75" s="34"/>
      <c r="O75" s="34"/>
      <c r="P75" s="34"/>
      <c r="Q75" s="33"/>
      <c r="R75" s="33"/>
      <c r="S75" s="116" t="str">
        <f>_xlfn.IFNA(VLOOKUP(B75,[4]Functions!$A$5:$B$25,2,FALSE),"NO")</f>
        <v>NO</v>
      </c>
    </row>
    <row r="76" spans="1:19" x14ac:dyDescent="0.55000000000000004">
      <c r="A76" s="9"/>
      <c r="B76" s="67"/>
      <c r="C76" s="14"/>
      <c r="D76" s="14"/>
      <c r="E76" s="33"/>
      <c r="F76" s="33"/>
      <c r="G76" s="34"/>
      <c r="H76" s="34"/>
      <c r="I76" s="34"/>
      <c r="J76" s="34"/>
      <c r="K76" s="34"/>
      <c r="L76" s="34"/>
      <c r="M76" s="34"/>
      <c r="N76" s="34"/>
      <c r="O76" s="34"/>
      <c r="P76" s="34"/>
      <c r="Q76" s="33"/>
      <c r="R76" s="33"/>
      <c r="S76" s="116" t="str">
        <f>_xlfn.IFNA(VLOOKUP(B76,[4]Functions!$A$5:$B$25,2,FALSE),"NO")</f>
        <v>NO</v>
      </c>
    </row>
    <row r="77" spans="1:19" x14ac:dyDescent="0.55000000000000004">
      <c r="A77" s="9"/>
      <c r="B77" s="67"/>
      <c r="C77" s="14"/>
      <c r="D77" s="14"/>
      <c r="E77" s="33"/>
      <c r="F77" s="33"/>
      <c r="G77" s="34"/>
      <c r="H77" s="34"/>
      <c r="I77" s="34"/>
      <c r="J77" s="34"/>
      <c r="K77" s="34"/>
      <c r="L77" s="34"/>
      <c r="M77" s="34"/>
      <c r="N77" s="34"/>
      <c r="O77" s="34"/>
      <c r="P77" s="34"/>
      <c r="Q77" s="33"/>
      <c r="R77" s="33"/>
      <c r="S77" s="116" t="str">
        <f>_xlfn.IFNA(VLOOKUP(B77,[4]Functions!$A$5:$B$25,2,FALSE),"NO")</f>
        <v>NO</v>
      </c>
    </row>
    <row r="78" spans="1:19" x14ac:dyDescent="0.55000000000000004">
      <c r="A78" s="9"/>
      <c r="B78" s="67"/>
      <c r="C78" s="14"/>
      <c r="D78" s="14"/>
      <c r="E78" s="33"/>
      <c r="F78" s="33"/>
      <c r="G78" s="34"/>
      <c r="H78" s="34"/>
      <c r="I78" s="34"/>
      <c r="J78" s="34"/>
      <c r="K78" s="34"/>
      <c r="L78" s="34"/>
      <c r="M78" s="34"/>
      <c r="N78" s="34"/>
      <c r="O78" s="34"/>
      <c r="P78" s="34"/>
      <c r="Q78" s="33"/>
      <c r="R78" s="33"/>
      <c r="S78" s="116" t="str">
        <f>_xlfn.IFNA(VLOOKUP(B78,[4]Functions!$A$5:$B$25,2,FALSE),"NO")</f>
        <v>NO</v>
      </c>
    </row>
    <row r="79" spans="1:19" x14ac:dyDescent="0.55000000000000004">
      <c r="A79" s="9"/>
      <c r="B79" s="67"/>
      <c r="C79" s="14"/>
      <c r="D79" s="14"/>
      <c r="E79" s="33"/>
      <c r="F79" s="33"/>
      <c r="G79" s="34"/>
      <c r="H79" s="34"/>
      <c r="I79" s="34"/>
      <c r="J79" s="34"/>
      <c r="K79" s="34"/>
      <c r="L79" s="34"/>
      <c r="M79" s="34"/>
      <c r="N79" s="34"/>
      <c r="O79" s="34"/>
      <c r="P79" s="34"/>
      <c r="Q79" s="33"/>
      <c r="R79" s="33"/>
      <c r="S79" s="116" t="str">
        <f>_xlfn.IFNA(VLOOKUP(B79,[4]Functions!$A$5:$B$25,2,FALSE),"NO")</f>
        <v>NO</v>
      </c>
    </row>
    <row r="80" spans="1:19" x14ac:dyDescent="0.55000000000000004">
      <c r="A80" s="9"/>
      <c r="B80" s="67"/>
      <c r="C80" s="14"/>
      <c r="D80" s="14"/>
      <c r="E80" s="33"/>
      <c r="F80" s="33"/>
      <c r="G80" s="34"/>
      <c r="H80" s="34"/>
      <c r="I80" s="34"/>
      <c r="J80" s="34"/>
      <c r="K80" s="34"/>
      <c r="L80" s="34"/>
      <c r="M80" s="34"/>
      <c r="N80" s="34"/>
      <c r="O80" s="34"/>
      <c r="P80" s="34"/>
      <c r="Q80" s="33"/>
      <c r="R80" s="33"/>
      <c r="S80" s="116" t="str">
        <f>_xlfn.IFNA(VLOOKUP(B80,[4]Functions!$A$5:$B$25,2,FALSE),"NO")</f>
        <v>NO</v>
      </c>
    </row>
    <row r="81" spans="1:19" x14ac:dyDescent="0.55000000000000004">
      <c r="A81" s="9"/>
      <c r="B81" s="67"/>
      <c r="C81" s="14"/>
      <c r="D81" s="14"/>
      <c r="E81" s="33"/>
      <c r="F81" s="33"/>
      <c r="G81" s="34"/>
      <c r="H81" s="34"/>
      <c r="I81" s="34"/>
      <c r="J81" s="34"/>
      <c r="K81" s="34"/>
      <c r="L81" s="34"/>
      <c r="M81" s="34"/>
      <c r="N81" s="34"/>
      <c r="O81" s="34"/>
      <c r="P81" s="34"/>
      <c r="Q81" s="33"/>
      <c r="R81" s="33"/>
      <c r="S81" s="116" t="str">
        <f>_xlfn.IFNA(VLOOKUP(B81,[4]Functions!$A$5:$B$25,2,FALSE),"NO")</f>
        <v>NO</v>
      </c>
    </row>
    <row r="82" spans="1:19" x14ac:dyDescent="0.55000000000000004">
      <c r="A82" s="9"/>
      <c r="B82" s="67"/>
      <c r="C82" s="14"/>
      <c r="D82" s="14"/>
      <c r="E82" s="33"/>
      <c r="F82" s="33"/>
      <c r="G82" s="34"/>
      <c r="H82" s="34"/>
      <c r="I82" s="34"/>
      <c r="J82" s="34"/>
      <c r="K82" s="34"/>
      <c r="L82" s="34"/>
      <c r="M82" s="34"/>
      <c r="N82" s="34"/>
      <c r="O82" s="34"/>
      <c r="P82" s="34"/>
      <c r="Q82" s="33"/>
      <c r="R82" s="33"/>
      <c r="S82" s="116" t="str">
        <f>_xlfn.IFNA(VLOOKUP(B82,[4]Functions!$A$5:$B$25,2,FALSE),"NO")</f>
        <v>NO</v>
      </c>
    </row>
    <row r="83" spans="1:19" x14ac:dyDescent="0.55000000000000004">
      <c r="A83" s="9"/>
      <c r="B83" s="67"/>
      <c r="C83" s="14"/>
      <c r="D83" s="14"/>
      <c r="E83" s="33"/>
      <c r="F83" s="33"/>
      <c r="G83" s="34"/>
      <c r="H83" s="34"/>
      <c r="I83" s="34"/>
      <c r="J83" s="34"/>
      <c r="K83" s="34"/>
      <c r="L83" s="34"/>
      <c r="M83" s="34"/>
      <c r="N83" s="34"/>
      <c r="O83" s="34"/>
      <c r="P83" s="34"/>
      <c r="Q83" s="33"/>
      <c r="R83" s="33"/>
      <c r="S83" s="116" t="str">
        <f>_xlfn.IFNA(VLOOKUP(B83,[4]Functions!$A$5:$B$25,2,FALSE),"NO")</f>
        <v>NO</v>
      </c>
    </row>
    <row r="84" spans="1:19" x14ac:dyDescent="0.55000000000000004">
      <c r="A84" s="9"/>
      <c r="B84" s="67"/>
      <c r="C84" s="14"/>
      <c r="D84" s="14"/>
      <c r="E84" s="33"/>
      <c r="F84" s="33"/>
      <c r="G84" s="34"/>
      <c r="H84" s="34"/>
      <c r="I84" s="34"/>
      <c r="J84" s="34"/>
      <c r="K84" s="34"/>
      <c r="L84" s="34"/>
      <c r="M84" s="34"/>
      <c r="N84" s="34"/>
      <c r="O84" s="34"/>
      <c r="P84" s="34"/>
      <c r="Q84" s="33"/>
      <c r="R84" s="33"/>
      <c r="S84" s="116" t="str">
        <f>_xlfn.IFNA(VLOOKUP(B84,[4]Functions!$A$5:$B$25,2,FALSE),"NO")</f>
        <v>NO</v>
      </c>
    </row>
    <row r="85" spans="1:19" x14ac:dyDescent="0.55000000000000004">
      <c r="A85" s="9"/>
      <c r="B85" s="67"/>
      <c r="C85" s="14"/>
      <c r="D85" s="14"/>
      <c r="E85" s="33"/>
      <c r="F85" s="33"/>
      <c r="G85" s="34"/>
      <c r="H85" s="34"/>
      <c r="I85" s="34"/>
      <c r="J85" s="34"/>
      <c r="K85" s="34"/>
      <c r="L85" s="34"/>
      <c r="M85" s="34"/>
      <c r="N85" s="34"/>
      <c r="O85" s="34"/>
      <c r="P85" s="34"/>
      <c r="Q85" s="33"/>
      <c r="R85" s="33"/>
      <c r="S85" s="116" t="str">
        <f>_xlfn.IFNA(VLOOKUP(B85,[4]Functions!$A$5:$B$25,2,FALSE),"NO")</f>
        <v>NO</v>
      </c>
    </row>
    <row r="86" spans="1:19" x14ac:dyDescent="0.55000000000000004">
      <c r="A86" s="9"/>
      <c r="B86" s="67"/>
      <c r="C86" s="14"/>
      <c r="D86" s="14"/>
      <c r="E86" s="33"/>
      <c r="F86" s="33"/>
      <c r="G86" s="34"/>
      <c r="H86" s="34"/>
      <c r="I86" s="34"/>
      <c r="J86" s="34"/>
      <c r="K86" s="34"/>
      <c r="L86" s="34"/>
      <c r="M86" s="34"/>
      <c r="N86" s="34"/>
      <c r="O86" s="34"/>
      <c r="P86" s="34"/>
      <c r="Q86" s="33"/>
      <c r="R86" s="33"/>
      <c r="S86" s="116" t="str">
        <f>_xlfn.IFNA(VLOOKUP(B86,[4]Functions!$A$5:$B$25,2,FALSE),"NO")</f>
        <v>NO</v>
      </c>
    </row>
    <row r="87" spans="1:19" x14ac:dyDescent="0.55000000000000004">
      <c r="A87" s="9"/>
      <c r="B87" s="67"/>
      <c r="C87" s="14"/>
      <c r="D87" s="14"/>
      <c r="E87" s="33"/>
      <c r="F87" s="33"/>
      <c r="G87" s="34"/>
      <c r="H87" s="34"/>
      <c r="I87" s="34"/>
      <c r="J87" s="34"/>
      <c r="K87" s="34"/>
      <c r="L87" s="34"/>
      <c r="M87" s="34"/>
      <c r="N87" s="34"/>
      <c r="O87" s="34"/>
      <c r="P87" s="34"/>
      <c r="Q87" s="33"/>
      <c r="R87" s="33"/>
      <c r="S87" s="116" t="str">
        <f>_xlfn.IFNA(VLOOKUP(B87,[4]Functions!$A$5:$B$25,2,FALSE),"NO")</f>
        <v>NO</v>
      </c>
    </row>
    <row r="88" spans="1:19" x14ac:dyDescent="0.55000000000000004">
      <c r="A88" s="9"/>
      <c r="B88" s="67"/>
      <c r="C88" s="14"/>
      <c r="D88" s="14"/>
      <c r="E88" s="33"/>
      <c r="F88" s="33"/>
      <c r="G88" s="34"/>
      <c r="H88" s="34"/>
      <c r="I88" s="34"/>
      <c r="J88" s="34"/>
      <c r="K88" s="34"/>
      <c r="L88" s="34"/>
      <c r="M88" s="34"/>
      <c r="N88" s="34"/>
      <c r="O88" s="34"/>
      <c r="P88" s="34"/>
      <c r="Q88" s="33"/>
      <c r="R88" s="33"/>
      <c r="S88" s="116" t="str">
        <f>_xlfn.IFNA(VLOOKUP(B88,[4]Functions!$A$5:$B$25,2,FALSE),"NO")</f>
        <v>NO</v>
      </c>
    </row>
    <row r="89" spans="1:19" x14ac:dyDescent="0.55000000000000004">
      <c r="A89" s="9"/>
      <c r="B89" s="67"/>
      <c r="C89" s="14"/>
      <c r="D89" s="14"/>
      <c r="E89" s="33"/>
      <c r="F89" s="33"/>
      <c r="G89" s="34"/>
      <c r="H89" s="34"/>
      <c r="I89" s="34"/>
      <c r="J89" s="34"/>
      <c r="K89" s="34"/>
      <c r="L89" s="34"/>
      <c r="M89" s="34"/>
      <c r="N89" s="34"/>
      <c r="O89" s="34"/>
      <c r="P89" s="34"/>
      <c r="Q89" s="33"/>
      <c r="R89" s="33"/>
      <c r="S89" s="116" t="str">
        <f>_xlfn.IFNA(VLOOKUP(B89,[4]Functions!$A$5:$B$25,2,FALSE),"NO")</f>
        <v>NO</v>
      </c>
    </row>
    <row r="90" spans="1:19" x14ac:dyDescent="0.55000000000000004">
      <c r="A90" s="9"/>
      <c r="B90" s="67"/>
      <c r="C90" s="14"/>
      <c r="D90" s="14"/>
      <c r="E90" s="33"/>
      <c r="F90" s="33"/>
      <c r="G90" s="34"/>
      <c r="H90" s="34"/>
      <c r="I90" s="34"/>
      <c r="J90" s="34"/>
      <c r="K90" s="34"/>
      <c r="L90" s="34"/>
      <c r="M90" s="34"/>
      <c r="N90" s="34"/>
      <c r="O90" s="34"/>
      <c r="P90" s="34"/>
      <c r="Q90" s="33"/>
      <c r="R90" s="33"/>
      <c r="S90" s="116" t="str">
        <f>_xlfn.IFNA(VLOOKUP(B90,[4]Functions!$A$5:$B$25,2,FALSE),"NO")</f>
        <v>NO</v>
      </c>
    </row>
    <row r="91" spans="1:19" x14ac:dyDescent="0.55000000000000004">
      <c r="A91" s="9"/>
      <c r="B91" s="67"/>
      <c r="C91" s="14"/>
      <c r="D91" s="14"/>
      <c r="E91" s="33"/>
      <c r="F91" s="33"/>
      <c r="G91" s="34"/>
      <c r="H91" s="34"/>
      <c r="I91" s="34"/>
      <c r="J91" s="34"/>
      <c r="K91" s="34"/>
      <c r="L91" s="34"/>
      <c r="M91" s="34"/>
      <c r="N91" s="34"/>
      <c r="O91" s="34"/>
      <c r="P91" s="34"/>
      <c r="Q91" s="33"/>
      <c r="R91" s="33"/>
      <c r="S91" s="116" t="str">
        <f>_xlfn.IFNA(VLOOKUP(B91,[4]Functions!$A$5:$B$25,2,FALSE),"NO")</f>
        <v>NO</v>
      </c>
    </row>
    <row r="92" spans="1:19" x14ac:dyDescent="0.55000000000000004">
      <c r="A92" s="9"/>
      <c r="B92" s="67"/>
      <c r="C92" s="14"/>
      <c r="D92" s="14"/>
      <c r="E92" s="33"/>
      <c r="F92" s="33"/>
      <c r="G92" s="34"/>
      <c r="H92" s="34"/>
      <c r="I92" s="34"/>
      <c r="J92" s="34"/>
      <c r="K92" s="34"/>
      <c r="L92" s="34"/>
      <c r="M92" s="34"/>
      <c r="N92" s="34"/>
      <c r="O92" s="34"/>
      <c r="P92" s="34"/>
      <c r="Q92" s="33"/>
      <c r="R92" s="33"/>
      <c r="S92" s="116" t="str">
        <f>_xlfn.IFNA(VLOOKUP(B92,[4]Functions!$A$5:$B$25,2,FALSE),"NO")</f>
        <v>NO</v>
      </c>
    </row>
    <row r="93" spans="1:19" x14ac:dyDescent="0.55000000000000004">
      <c r="A93" s="9"/>
      <c r="B93" s="67"/>
      <c r="C93" s="14"/>
      <c r="D93" s="14"/>
      <c r="E93" s="33"/>
      <c r="F93" s="33"/>
      <c r="G93" s="34"/>
      <c r="H93" s="34"/>
      <c r="I93" s="34"/>
      <c r="J93" s="34"/>
      <c r="K93" s="34"/>
      <c r="L93" s="34"/>
      <c r="M93" s="34"/>
      <c r="N93" s="34"/>
      <c r="O93" s="34"/>
      <c r="P93" s="34"/>
      <c r="Q93" s="33"/>
      <c r="R93" s="33"/>
      <c r="S93" s="116" t="str">
        <f>_xlfn.IFNA(VLOOKUP(B93,[4]Functions!$A$5:$B$25,2,FALSE),"NO")</f>
        <v>NO</v>
      </c>
    </row>
    <row r="94" spans="1:19" x14ac:dyDescent="0.55000000000000004">
      <c r="A94" s="9"/>
      <c r="B94" s="67"/>
      <c r="C94" s="14"/>
      <c r="D94" s="14"/>
      <c r="E94" s="33"/>
      <c r="F94" s="33"/>
      <c r="G94" s="34"/>
      <c r="H94" s="34"/>
      <c r="I94" s="34"/>
      <c r="J94" s="34"/>
      <c r="K94" s="34"/>
      <c r="L94" s="34"/>
      <c r="M94" s="34"/>
      <c r="N94" s="34"/>
      <c r="O94" s="34"/>
      <c r="P94" s="34"/>
      <c r="Q94" s="33"/>
      <c r="R94" s="33"/>
      <c r="S94" s="116" t="str">
        <f>_xlfn.IFNA(VLOOKUP(B94,[4]Functions!$A$5:$B$25,2,FALSE),"NO")</f>
        <v>NO</v>
      </c>
    </row>
    <row r="95" spans="1:19" x14ac:dyDescent="0.55000000000000004">
      <c r="A95" s="9"/>
      <c r="B95" s="67"/>
      <c r="C95" s="14"/>
      <c r="D95" s="14"/>
      <c r="E95" s="33"/>
      <c r="F95" s="33"/>
      <c r="G95" s="34"/>
      <c r="H95" s="34"/>
      <c r="I95" s="34"/>
      <c r="J95" s="34"/>
      <c r="K95" s="34"/>
      <c r="L95" s="34"/>
      <c r="M95" s="34"/>
      <c r="N95" s="34"/>
      <c r="O95" s="34"/>
      <c r="P95" s="34"/>
      <c r="Q95" s="33"/>
      <c r="R95" s="33"/>
      <c r="S95" s="116" t="str">
        <f>_xlfn.IFNA(VLOOKUP(B95,[4]Functions!$A$5:$B$25,2,FALSE),"NO")</f>
        <v>NO</v>
      </c>
    </row>
    <row r="96" spans="1:19" x14ac:dyDescent="0.55000000000000004">
      <c r="A96" s="9"/>
      <c r="B96" s="67"/>
      <c r="C96" s="14"/>
      <c r="D96" s="14"/>
      <c r="E96" s="33"/>
      <c r="F96" s="33"/>
      <c r="G96" s="34"/>
      <c r="H96" s="34"/>
      <c r="I96" s="34"/>
      <c r="J96" s="34"/>
      <c r="K96" s="34"/>
      <c r="L96" s="34"/>
      <c r="M96" s="34"/>
      <c r="N96" s="34"/>
      <c r="O96" s="34"/>
      <c r="P96" s="34"/>
      <c r="Q96" s="33"/>
      <c r="R96" s="33"/>
      <c r="S96" s="116" t="str">
        <f>_xlfn.IFNA(VLOOKUP(B96,[4]Functions!$A$5:$B$25,2,FALSE),"NO")</f>
        <v>NO</v>
      </c>
    </row>
    <row r="97" spans="1:19" x14ac:dyDescent="0.55000000000000004">
      <c r="A97" s="9"/>
      <c r="B97" s="67"/>
      <c r="C97" s="14"/>
      <c r="D97" s="14"/>
      <c r="E97" s="33"/>
      <c r="F97" s="33"/>
      <c r="G97" s="34"/>
      <c r="H97" s="34"/>
      <c r="I97" s="34"/>
      <c r="J97" s="34"/>
      <c r="K97" s="34"/>
      <c r="L97" s="34"/>
      <c r="M97" s="34"/>
      <c r="N97" s="34"/>
      <c r="O97" s="34"/>
      <c r="P97" s="34"/>
      <c r="Q97" s="33"/>
      <c r="R97" s="33"/>
      <c r="S97" s="116" t="str">
        <f>_xlfn.IFNA(VLOOKUP(B97,[4]Functions!$A$5:$B$25,2,FALSE),"NO")</f>
        <v>NO</v>
      </c>
    </row>
    <row r="98" spans="1:19" x14ac:dyDescent="0.55000000000000004">
      <c r="A98" s="9"/>
      <c r="B98" s="67"/>
      <c r="C98" s="14"/>
      <c r="D98" s="14"/>
      <c r="E98" s="33"/>
      <c r="F98" s="33"/>
      <c r="G98" s="34"/>
      <c r="H98" s="34"/>
      <c r="I98" s="34"/>
      <c r="J98" s="34"/>
      <c r="K98" s="34"/>
      <c r="L98" s="34"/>
      <c r="M98" s="34"/>
      <c r="N98" s="34"/>
      <c r="O98" s="34"/>
      <c r="P98" s="34"/>
      <c r="Q98" s="33"/>
      <c r="R98" s="33"/>
      <c r="S98" s="116" t="str">
        <f>_xlfn.IFNA(VLOOKUP(B98,[4]Functions!$A$5:$B$25,2,FALSE),"NO")</f>
        <v>NO</v>
      </c>
    </row>
    <row r="99" spans="1:19" x14ac:dyDescent="0.55000000000000004">
      <c r="A99" s="9"/>
      <c r="B99" s="67"/>
      <c r="C99" s="14"/>
      <c r="D99" s="14"/>
      <c r="E99" s="33"/>
      <c r="F99" s="33"/>
      <c r="G99" s="34"/>
      <c r="H99" s="34"/>
      <c r="I99" s="34"/>
      <c r="J99" s="34"/>
      <c r="K99" s="34"/>
      <c r="L99" s="34"/>
      <c r="M99" s="34"/>
      <c r="N99" s="34"/>
      <c r="O99" s="34"/>
      <c r="P99" s="34"/>
      <c r="Q99" s="33"/>
      <c r="R99" s="33"/>
      <c r="S99" s="116" t="str">
        <f>_xlfn.IFNA(VLOOKUP(B99,[4]Functions!$A$5:$B$25,2,FALSE),"NO")</f>
        <v>NO</v>
      </c>
    </row>
    <row r="100" spans="1:19" x14ac:dyDescent="0.55000000000000004">
      <c r="A100" s="9"/>
      <c r="B100" s="67"/>
      <c r="C100" s="14"/>
      <c r="D100" s="14"/>
      <c r="E100" s="33"/>
      <c r="F100" s="33"/>
      <c r="G100" s="34"/>
      <c r="H100" s="34"/>
      <c r="I100" s="34"/>
      <c r="J100" s="34"/>
      <c r="K100" s="34"/>
      <c r="L100" s="34"/>
      <c r="M100" s="34"/>
      <c r="N100" s="34"/>
      <c r="O100" s="34"/>
      <c r="P100" s="34"/>
      <c r="Q100" s="33"/>
      <c r="R100" s="33"/>
      <c r="S100" s="116" t="str">
        <f>_xlfn.IFNA(VLOOKUP(B100,[4]Functions!$A$5:$B$25,2,FALSE),"NO")</f>
        <v>NO</v>
      </c>
    </row>
  </sheetData>
  <mergeCells count="2">
    <mergeCell ref="A1:D2"/>
    <mergeCell ref="Q1:R2"/>
  </mergeCells>
  <dataValidations count="4">
    <dataValidation type="list" showInputMessage="1" showErrorMessage="1" sqref="Q19:Q1048576 Q5:Q17">
      <formula1>units</formula1>
    </dataValidation>
    <dataValidation type="list" showInputMessage="1" showErrorMessage="1" sqref="E39:E1048576 E3:E4">
      <formula1>can</formula1>
    </dataValidation>
    <dataValidation type="list" showInputMessage="1" showErrorMessage="1" sqref="D5:D38">
      <formula1>signal</formula1>
    </dataValidation>
    <dataValidation type="list" showInputMessage="1" showErrorMessage="1" sqref="E5:E38">
      <formula1>CAN_P</formula1>
    </dataValidation>
  </dataValidations>
  <pageMargins left="0.7" right="0.7" top="0.75" bottom="0.75" header="0.3" footer="0.3"/>
  <pageSetup orientation="portrait"/>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5"/>
  <sheetViews>
    <sheetView workbookViewId="0">
      <selection activeCell="B8" sqref="B8"/>
    </sheetView>
  </sheetViews>
  <sheetFormatPr defaultRowHeight="14.4" x14ac:dyDescent="0.55000000000000004"/>
  <cols>
    <col min="1" max="1" width="24.15625" style="27" customWidth="1"/>
    <col min="2" max="2" width="17.68359375" style="27" customWidth="1"/>
    <col min="3" max="3" width="20.26171875" style="27" customWidth="1"/>
    <col min="4" max="4" width="27.26171875" style="27" customWidth="1"/>
  </cols>
  <sheetData>
    <row r="1" spans="1:3" ht="15" customHeight="1" thickTop="1" thickBot="1" x14ac:dyDescent="0.6">
      <c r="A1" s="62" t="s">
        <v>131</v>
      </c>
      <c r="B1" s="62" t="s">
        <v>132</v>
      </c>
      <c r="C1" s="62" t="s">
        <v>133</v>
      </c>
    </row>
    <row r="2" spans="1:3" ht="14.7" customHeight="1" thickTop="1" x14ac:dyDescent="0.55000000000000004">
      <c r="A2" s="4" t="s">
        <v>134</v>
      </c>
      <c r="B2">
        <v>4</v>
      </c>
      <c r="C2" t="s">
        <v>135</v>
      </c>
    </row>
    <row r="3" spans="1:3" x14ac:dyDescent="0.55000000000000004">
      <c r="A3" t="s">
        <v>136</v>
      </c>
      <c r="B3">
        <v>2</v>
      </c>
      <c r="C3" t="s">
        <v>137</v>
      </c>
    </row>
    <row r="4" spans="1:3" x14ac:dyDescent="0.55000000000000004">
      <c r="A4" t="s">
        <v>138</v>
      </c>
      <c r="B4">
        <v>4</v>
      </c>
      <c r="C4" t="str">
        <f>'Module enable'!G1</f>
        <v>0x00181F72</v>
      </c>
    </row>
    <row r="5" spans="1:3" x14ac:dyDescent="0.55000000000000004">
      <c r="A5" t="s">
        <v>139</v>
      </c>
      <c r="B5">
        <v>1</v>
      </c>
      <c r="C5" t="s">
        <v>87</v>
      </c>
    </row>
  </sheetData>
  <pageMargins left="0.7" right="0.7" top="0.75" bottom="0.75" header="0.3" footer="0.3"/>
  <pageSetup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G33"/>
  <sheetViews>
    <sheetView workbookViewId="0">
      <selection activeCell="B6" sqref="B6"/>
    </sheetView>
  </sheetViews>
  <sheetFormatPr defaultRowHeight="14.4" x14ac:dyDescent="0.55000000000000004"/>
  <cols>
    <col min="2" max="2" width="17.41796875" style="27" bestFit="1" customWidth="1"/>
    <col min="5" max="5" width="10.578125" style="27" bestFit="1" customWidth="1"/>
    <col min="7" max="7" width="10.578125" style="27" bestFit="1" customWidth="1"/>
  </cols>
  <sheetData>
    <row r="1" spans="1:7" x14ac:dyDescent="0.55000000000000004">
      <c r="A1" t="s">
        <v>140</v>
      </c>
      <c r="B1" t="s">
        <v>141</v>
      </c>
      <c r="C1" t="s">
        <v>142</v>
      </c>
      <c r="D1" t="s">
        <v>143</v>
      </c>
      <c r="G1" t="str">
        <f>CONCATENATE("0x",DEC2HEX(SUM(D2:D33),8))</f>
        <v>0x00181F72</v>
      </c>
    </row>
    <row r="2" spans="1:7" x14ac:dyDescent="0.55000000000000004">
      <c r="A2">
        <v>0</v>
      </c>
      <c r="B2" t="s">
        <v>144</v>
      </c>
      <c r="C2">
        <v>0</v>
      </c>
      <c r="D2">
        <f t="shared" ref="D2:D33" si="0">_xlfn.BITLSHIFT(C2,A2)</f>
        <v>0</v>
      </c>
    </row>
    <row r="3" spans="1:7" x14ac:dyDescent="0.55000000000000004">
      <c r="A3">
        <v>1</v>
      </c>
      <c r="B3" t="s">
        <v>145</v>
      </c>
      <c r="C3">
        <v>1</v>
      </c>
      <c r="D3">
        <f t="shared" si="0"/>
        <v>2</v>
      </c>
    </row>
    <row r="4" spans="1:7" x14ac:dyDescent="0.55000000000000004">
      <c r="A4">
        <v>2</v>
      </c>
      <c r="B4" t="s">
        <v>146</v>
      </c>
      <c r="C4">
        <v>0</v>
      </c>
      <c r="D4">
        <f t="shared" si="0"/>
        <v>0</v>
      </c>
    </row>
    <row r="5" spans="1:7" x14ac:dyDescent="0.55000000000000004">
      <c r="A5">
        <v>3</v>
      </c>
      <c r="B5" t="s">
        <v>147</v>
      </c>
      <c r="C5">
        <v>0</v>
      </c>
      <c r="D5">
        <f t="shared" si="0"/>
        <v>0</v>
      </c>
    </row>
    <row r="6" spans="1:7" x14ac:dyDescent="0.55000000000000004">
      <c r="A6">
        <v>4</v>
      </c>
      <c r="B6" t="s">
        <v>148</v>
      </c>
      <c r="C6">
        <v>1</v>
      </c>
      <c r="D6">
        <f t="shared" si="0"/>
        <v>16</v>
      </c>
    </row>
    <row r="7" spans="1:7" x14ac:dyDescent="0.55000000000000004">
      <c r="A7">
        <v>5</v>
      </c>
      <c r="B7" t="s">
        <v>149</v>
      </c>
      <c r="C7">
        <v>1</v>
      </c>
      <c r="D7">
        <f t="shared" si="0"/>
        <v>32</v>
      </c>
    </row>
    <row r="8" spans="1:7" x14ac:dyDescent="0.55000000000000004">
      <c r="A8">
        <v>6</v>
      </c>
      <c r="B8" t="s">
        <v>150</v>
      </c>
      <c r="C8">
        <v>1</v>
      </c>
      <c r="D8">
        <f t="shared" si="0"/>
        <v>64</v>
      </c>
    </row>
    <row r="9" spans="1:7" x14ac:dyDescent="0.55000000000000004">
      <c r="A9">
        <v>7</v>
      </c>
      <c r="B9" t="s">
        <v>151</v>
      </c>
      <c r="C9">
        <v>0</v>
      </c>
      <c r="D9">
        <f t="shared" si="0"/>
        <v>0</v>
      </c>
    </row>
    <row r="10" spans="1:7" x14ac:dyDescent="0.55000000000000004">
      <c r="A10">
        <v>8</v>
      </c>
      <c r="B10" t="s">
        <v>152</v>
      </c>
      <c r="C10">
        <v>1</v>
      </c>
      <c r="D10">
        <f t="shared" si="0"/>
        <v>256</v>
      </c>
    </row>
    <row r="11" spans="1:7" x14ac:dyDescent="0.55000000000000004">
      <c r="A11">
        <v>9</v>
      </c>
      <c r="B11" t="s">
        <v>153</v>
      </c>
      <c r="C11">
        <v>1</v>
      </c>
      <c r="D11">
        <f t="shared" si="0"/>
        <v>512</v>
      </c>
    </row>
    <row r="12" spans="1:7" x14ac:dyDescent="0.55000000000000004">
      <c r="A12">
        <v>10</v>
      </c>
      <c r="B12" t="s">
        <v>154</v>
      </c>
      <c r="C12">
        <v>1</v>
      </c>
      <c r="D12">
        <f t="shared" si="0"/>
        <v>1024</v>
      </c>
    </row>
    <row r="13" spans="1:7" x14ac:dyDescent="0.55000000000000004">
      <c r="A13">
        <v>11</v>
      </c>
      <c r="B13" t="s">
        <v>155</v>
      </c>
      <c r="C13">
        <v>1</v>
      </c>
      <c r="D13">
        <f t="shared" si="0"/>
        <v>2048</v>
      </c>
    </row>
    <row r="14" spans="1:7" x14ac:dyDescent="0.55000000000000004">
      <c r="A14">
        <v>12</v>
      </c>
      <c r="B14" t="s">
        <v>156</v>
      </c>
      <c r="C14">
        <v>1</v>
      </c>
      <c r="D14">
        <f t="shared" si="0"/>
        <v>4096</v>
      </c>
    </row>
    <row r="15" spans="1:7" x14ac:dyDescent="0.55000000000000004">
      <c r="A15">
        <v>13</v>
      </c>
      <c r="B15" t="s">
        <v>157</v>
      </c>
      <c r="C15">
        <v>0</v>
      </c>
      <c r="D15">
        <f t="shared" si="0"/>
        <v>0</v>
      </c>
    </row>
    <row r="16" spans="1:7" x14ac:dyDescent="0.55000000000000004">
      <c r="A16">
        <v>14</v>
      </c>
      <c r="B16" t="s">
        <v>158</v>
      </c>
      <c r="C16">
        <v>0</v>
      </c>
      <c r="D16">
        <f t="shared" si="0"/>
        <v>0</v>
      </c>
    </row>
    <row r="17" spans="1:4" x14ac:dyDescent="0.55000000000000004">
      <c r="A17">
        <v>15</v>
      </c>
      <c r="B17" t="s">
        <v>159</v>
      </c>
      <c r="C17">
        <v>0</v>
      </c>
      <c r="D17">
        <f t="shared" si="0"/>
        <v>0</v>
      </c>
    </row>
    <row r="18" spans="1:4" x14ac:dyDescent="0.55000000000000004">
      <c r="A18">
        <v>16</v>
      </c>
      <c r="B18" t="s">
        <v>160</v>
      </c>
      <c r="C18">
        <v>0</v>
      </c>
      <c r="D18">
        <f t="shared" si="0"/>
        <v>0</v>
      </c>
    </row>
    <row r="19" spans="1:4" x14ac:dyDescent="0.55000000000000004">
      <c r="A19">
        <v>17</v>
      </c>
      <c r="B19" t="s">
        <v>161</v>
      </c>
      <c r="C19">
        <v>0</v>
      </c>
      <c r="D19">
        <f t="shared" si="0"/>
        <v>0</v>
      </c>
    </row>
    <row r="20" spans="1:4" x14ac:dyDescent="0.55000000000000004">
      <c r="A20">
        <v>18</v>
      </c>
      <c r="B20" t="s">
        <v>162</v>
      </c>
      <c r="C20">
        <v>0</v>
      </c>
      <c r="D20">
        <f t="shared" si="0"/>
        <v>0</v>
      </c>
    </row>
    <row r="21" spans="1:4" x14ac:dyDescent="0.55000000000000004">
      <c r="A21">
        <v>19</v>
      </c>
      <c r="B21" t="s">
        <v>163</v>
      </c>
      <c r="C21">
        <v>1</v>
      </c>
      <c r="D21">
        <f t="shared" si="0"/>
        <v>524288</v>
      </c>
    </row>
    <row r="22" spans="1:4" x14ac:dyDescent="0.55000000000000004">
      <c r="A22">
        <v>20</v>
      </c>
      <c r="B22" t="s">
        <v>164</v>
      </c>
      <c r="C22">
        <v>1</v>
      </c>
      <c r="D22">
        <f t="shared" si="0"/>
        <v>1048576</v>
      </c>
    </row>
    <row r="23" spans="1:4" x14ac:dyDescent="0.55000000000000004">
      <c r="A23">
        <v>21</v>
      </c>
      <c r="C23">
        <v>0</v>
      </c>
      <c r="D23">
        <f t="shared" si="0"/>
        <v>0</v>
      </c>
    </row>
    <row r="24" spans="1:4" x14ac:dyDescent="0.55000000000000004">
      <c r="A24">
        <v>22</v>
      </c>
      <c r="C24">
        <v>0</v>
      </c>
      <c r="D24">
        <f t="shared" si="0"/>
        <v>0</v>
      </c>
    </row>
    <row r="25" spans="1:4" x14ac:dyDescent="0.55000000000000004">
      <c r="A25">
        <v>23</v>
      </c>
      <c r="C25">
        <v>0</v>
      </c>
      <c r="D25">
        <f t="shared" si="0"/>
        <v>0</v>
      </c>
    </row>
    <row r="26" spans="1:4" x14ac:dyDescent="0.55000000000000004">
      <c r="A26">
        <v>24</v>
      </c>
      <c r="C26">
        <v>0</v>
      </c>
      <c r="D26">
        <f t="shared" si="0"/>
        <v>0</v>
      </c>
    </row>
    <row r="27" spans="1:4" x14ac:dyDescent="0.55000000000000004">
      <c r="A27">
        <v>25</v>
      </c>
      <c r="C27">
        <v>0</v>
      </c>
      <c r="D27">
        <f t="shared" si="0"/>
        <v>0</v>
      </c>
    </row>
    <row r="28" spans="1:4" x14ac:dyDescent="0.55000000000000004">
      <c r="A28">
        <v>26</v>
      </c>
      <c r="C28">
        <v>0</v>
      </c>
      <c r="D28">
        <f t="shared" si="0"/>
        <v>0</v>
      </c>
    </row>
    <row r="29" spans="1:4" x14ac:dyDescent="0.55000000000000004">
      <c r="A29">
        <v>27</v>
      </c>
      <c r="C29">
        <v>0</v>
      </c>
      <c r="D29">
        <f t="shared" si="0"/>
        <v>0</v>
      </c>
    </row>
    <row r="30" spans="1:4" x14ac:dyDescent="0.55000000000000004">
      <c r="A30">
        <v>28</v>
      </c>
      <c r="C30">
        <v>0</v>
      </c>
      <c r="D30">
        <f t="shared" si="0"/>
        <v>0</v>
      </c>
    </row>
    <row r="31" spans="1:4" x14ac:dyDescent="0.55000000000000004">
      <c r="A31">
        <v>29</v>
      </c>
      <c r="C31">
        <v>0</v>
      </c>
      <c r="D31">
        <f t="shared" si="0"/>
        <v>0</v>
      </c>
    </row>
    <row r="32" spans="1:4" x14ac:dyDescent="0.55000000000000004">
      <c r="A32">
        <v>30</v>
      </c>
      <c r="C32">
        <v>0</v>
      </c>
      <c r="D32">
        <f t="shared" si="0"/>
        <v>0</v>
      </c>
    </row>
    <row r="33" spans="1:4" x14ac:dyDescent="0.55000000000000004">
      <c r="A33">
        <v>31</v>
      </c>
      <c r="C33">
        <v>0</v>
      </c>
      <c r="D33">
        <f t="shared" si="0"/>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O39"/>
  <sheetViews>
    <sheetView workbookViewId="0">
      <pane ySplit="4" topLeftCell="A5" activePane="bottomLeft" state="frozen"/>
      <selection pane="bottomLeft" activeCell="F16" sqref="F16"/>
    </sheetView>
  </sheetViews>
  <sheetFormatPr defaultRowHeight="14.4" x14ac:dyDescent="0.55000000000000004"/>
  <cols>
    <col min="1" max="1" width="33" style="3" customWidth="1"/>
    <col min="2" max="2" width="13.83984375" style="27" customWidth="1"/>
    <col min="3" max="3" width="10.15625" style="27" customWidth="1"/>
    <col min="4" max="4" width="21.15625" style="27" customWidth="1"/>
    <col min="5" max="5" width="16.15625" style="27" customWidth="1"/>
    <col min="6" max="6" width="23.68359375" style="27" customWidth="1"/>
    <col min="7" max="7" width="18.578125" style="81" customWidth="1"/>
    <col min="8" max="8" width="12.578125" style="27" customWidth="1"/>
    <col min="9" max="9" width="23" style="27" customWidth="1"/>
    <col min="10" max="10" width="11" style="27" customWidth="1"/>
    <col min="11" max="11" width="25.578125" style="27" customWidth="1"/>
    <col min="12" max="12" width="11.83984375" style="27" customWidth="1"/>
    <col min="13" max="13" width="8.83984375" style="27" customWidth="1"/>
    <col min="14" max="14" width="40.83984375" style="27" customWidth="1"/>
    <col min="15" max="15" width="39.578125" style="27" customWidth="1"/>
  </cols>
  <sheetData>
    <row r="1" spans="1:15" ht="24.75" customHeight="1" x14ac:dyDescent="0.55000000000000004">
      <c r="A1" s="130"/>
      <c r="B1" s="125"/>
      <c r="C1" s="125"/>
      <c r="D1" s="125"/>
      <c r="E1" s="125"/>
      <c r="F1" s="125"/>
      <c r="G1" s="131"/>
      <c r="H1" s="125"/>
      <c r="I1" s="125"/>
      <c r="J1" s="48">
        <f>Years</f>
        <v>2019</v>
      </c>
      <c r="K1" s="42" t="str">
        <f>make</f>
        <v>HONDA PUSH2START GAZ</v>
      </c>
      <c r="L1" s="41" t="str">
        <f>model</f>
        <v>ACCORD 4DOOR SEDAN</v>
      </c>
      <c r="M1" s="41"/>
      <c r="N1" s="129"/>
    </row>
    <row r="2" spans="1:15" ht="35.25" customHeight="1" x14ac:dyDescent="0.55000000000000004">
      <c r="A2" s="128"/>
      <c r="B2" s="128"/>
      <c r="C2" s="128"/>
      <c r="D2" s="128"/>
      <c r="E2" s="128"/>
      <c r="F2" s="128"/>
      <c r="G2" s="128"/>
      <c r="H2" s="128"/>
      <c r="I2" s="128"/>
      <c r="J2" s="23" t="str">
        <f>tran</f>
        <v>Auto</v>
      </c>
      <c r="K2" s="20" t="str">
        <f>car</f>
        <v>Key</v>
      </c>
      <c r="L2" s="23"/>
      <c r="M2" s="23"/>
      <c r="N2" s="128"/>
    </row>
    <row r="3" spans="1:15" s="19" customFormat="1" ht="15.75" customHeight="1" x14ac:dyDescent="0.7">
      <c r="A3" s="69" t="s">
        <v>165</v>
      </c>
      <c r="B3" s="68" t="s">
        <v>82</v>
      </c>
      <c r="C3" s="68" t="s">
        <v>68</v>
      </c>
      <c r="D3" s="68" t="s">
        <v>166</v>
      </c>
      <c r="E3" s="68" t="s">
        <v>74</v>
      </c>
      <c r="F3" s="71" t="s">
        <v>167</v>
      </c>
      <c r="G3" s="71" t="s">
        <v>168</v>
      </c>
      <c r="H3" s="71" t="s">
        <v>169</v>
      </c>
      <c r="I3" s="68" t="s">
        <v>69</v>
      </c>
      <c r="J3" s="68" t="s">
        <v>170</v>
      </c>
      <c r="K3" s="68" t="s">
        <v>171</v>
      </c>
      <c r="L3" s="68" t="s">
        <v>172</v>
      </c>
      <c r="M3" s="69" t="s">
        <v>173</v>
      </c>
      <c r="N3" s="68" t="s">
        <v>81</v>
      </c>
      <c r="O3" s="75"/>
    </row>
    <row r="4" spans="1:15" s="19" customFormat="1" ht="6" hidden="1" customHeight="1" x14ac:dyDescent="0.6">
      <c r="A4" s="70"/>
      <c r="B4" s="70"/>
      <c r="C4" s="70"/>
      <c r="D4" s="69"/>
      <c r="E4" s="69"/>
      <c r="F4" s="72"/>
      <c r="G4" s="72"/>
      <c r="H4" s="72"/>
      <c r="I4" s="70"/>
      <c r="J4" s="25"/>
      <c r="K4" s="69"/>
      <c r="L4" s="70"/>
      <c r="M4" s="69"/>
      <c r="N4" s="70"/>
    </row>
    <row r="5" spans="1:15" s="7" customFormat="1" ht="15" customHeight="1" x14ac:dyDescent="0.55000000000000004">
      <c r="A5" s="84" t="s">
        <v>174</v>
      </c>
      <c r="B5" s="85"/>
      <c r="C5" s="86"/>
      <c r="D5" s="85" t="s">
        <v>175</v>
      </c>
      <c r="E5" s="85" t="s">
        <v>176</v>
      </c>
      <c r="F5" s="86" t="s">
        <v>125</v>
      </c>
      <c r="G5" s="87">
        <v>1</v>
      </c>
      <c r="H5" s="85"/>
      <c r="I5" s="86"/>
      <c r="J5" s="86"/>
      <c r="K5" s="86"/>
      <c r="L5" s="86"/>
      <c r="M5" s="86"/>
      <c r="N5" s="88"/>
    </row>
    <row r="6" spans="1:15" x14ac:dyDescent="0.55000000000000004">
      <c r="A6" s="84"/>
      <c r="B6" s="85"/>
      <c r="C6" s="86" t="s">
        <v>5</v>
      </c>
      <c r="D6" s="85" t="s">
        <v>175</v>
      </c>
      <c r="E6" s="85" t="s">
        <v>176</v>
      </c>
      <c r="F6" s="85" t="s">
        <v>177</v>
      </c>
      <c r="G6" s="85" t="s">
        <v>178</v>
      </c>
      <c r="H6" s="85"/>
      <c r="I6" s="86" t="s">
        <v>179</v>
      </c>
      <c r="J6" s="86" t="s">
        <v>180</v>
      </c>
      <c r="K6" s="86" t="s">
        <v>181</v>
      </c>
      <c r="L6" s="86" t="s">
        <v>182</v>
      </c>
      <c r="M6" s="86" t="s">
        <v>183</v>
      </c>
      <c r="N6" s="88"/>
    </row>
    <row r="7" spans="1:15" x14ac:dyDescent="0.55000000000000004">
      <c r="A7" s="84"/>
      <c r="B7" s="85"/>
      <c r="C7" s="86" t="s">
        <v>5</v>
      </c>
      <c r="D7" s="85" t="s">
        <v>184</v>
      </c>
      <c r="E7" s="85"/>
      <c r="F7" s="86"/>
      <c r="G7" s="85"/>
      <c r="H7" s="85"/>
      <c r="I7" s="86" t="s">
        <v>185</v>
      </c>
      <c r="J7" s="86" t="s">
        <v>178</v>
      </c>
      <c r="K7" s="86" t="s">
        <v>186</v>
      </c>
      <c r="L7" s="86" t="s">
        <v>182</v>
      </c>
      <c r="M7" s="86" t="s">
        <v>178</v>
      </c>
      <c r="N7" s="88"/>
    </row>
    <row r="8" spans="1:15" x14ac:dyDescent="0.55000000000000004">
      <c r="A8" s="84"/>
      <c r="B8" s="85"/>
      <c r="C8" s="86" t="s">
        <v>5</v>
      </c>
      <c r="D8" s="85" t="s">
        <v>184</v>
      </c>
      <c r="E8" s="85"/>
      <c r="F8" s="85"/>
      <c r="G8" s="85"/>
      <c r="H8" s="85"/>
      <c r="I8" s="86" t="s">
        <v>185</v>
      </c>
      <c r="J8" s="86" t="s">
        <v>178</v>
      </c>
      <c r="K8" s="86" t="s">
        <v>186</v>
      </c>
      <c r="L8" s="86" t="s">
        <v>182</v>
      </c>
      <c r="M8" s="86" t="s">
        <v>178</v>
      </c>
      <c r="N8" s="88"/>
      <c r="O8" s="5"/>
    </row>
    <row r="9" spans="1:15" x14ac:dyDescent="0.55000000000000004">
      <c r="A9" s="90" t="s">
        <v>187</v>
      </c>
      <c r="B9" s="91"/>
      <c r="C9" s="92"/>
      <c r="D9" s="91" t="s">
        <v>175</v>
      </c>
      <c r="E9" s="91" t="s">
        <v>176</v>
      </c>
      <c r="F9" s="92" t="s">
        <v>125</v>
      </c>
      <c r="G9" s="93">
        <v>1</v>
      </c>
      <c r="H9" s="91"/>
      <c r="I9" s="92"/>
      <c r="J9" s="92"/>
      <c r="K9" s="92"/>
      <c r="L9" s="92"/>
      <c r="M9" s="92"/>
      <c r="N9" s="94"/>
    </row>
    <row r="10" spans="1:15" s="89" customFormat="1" x14ac:dyDescent="0.55000000000000004">
      <c r="A10" s="90"/>
      <c r="B10" s="91"/>
      <c r="C10" s="92"/>
      <c r="D10" s="91" t="s">
        <v>175</v>
      </c>
      <c r="E10" s="91" t="s">
        <v>176</v>
      </c>
      <c r="F10" s="91" t="s">
        <v>177</v>
      </c>
      <c r="G10" s="91" t="s">
        <v>178</v>
      </c>
      <c r="H10" s="91"/>
      <c r="I10" s="92"/>
      <c r="J10" s="92"/>
      <c r="K10" s="92"/>
      <c r="L10" s="92"/>
      <c r="M10" s="92"/>
      <c r="N10" s="94"/>
    </row>
    <row r="11" spans="1:15" x14ac:dyDescent="0.55000000000000004">
      <c r="A11" s="90"/>
      <c r="B11" s="91"/>
      <c r="C11" s="92" t="s">
        <v>5</v>
      </c>
      <c r="D11" s="91" t="s">
        <v>175</v>
      </c>
      <c r="E11" s="91" t="s">
        <v>176</v>
      </c>
      <c r="F11" s="91" t="s">
        <v>118</v>
      </c>
      <c r="G11" s="91" t="s">
        <v>178</v>
      </c>
      <c r="H11" s="91"/>
      <c r="I11" s="92" t="s">
        <v>179</v>
      </c>
      <c r="J11" s="92" t="s">
        <v>180</v>
      </c>
      <c r="K11" s="92" t="s">
        <v>188</v>
      </c>
      <c r="L11" s="92" t="s">
        <v>182</v>
      </c>
      <c r="M11" s="92" t="s">
        <v>183</v>
      </c>
      <c r="N11" s="94"/>
    </row>
    <row r="12" spans="1:15" x14ac:dyDescent="0.55000000000000004">
      <c r="A12" s="90"/>
      <c r="B12" s="91"/>
      <c r="C12" s="92" t="s">
        <v>5</v>
      </c>
      <c r="D12" s="91" t="s">
        <v>184</v>
      </c>
      <c r="E12" s="91"/>
      <c r="F12" s="92"/>
      <c r="G12" s="91"/>
      <c r="H12" s="91"/>
      <c r="I12" s="92" t="s">
        <v>185</v>
      </c>
      <c r="J12" s="92" t="s">
        <v>178</v>
      </c>
      <c r="K12" s="92" t="s">
        <v>189</v>
      </c>
      <c r="L12" s="92" t="s">
        <v>182</v>
      </c>
      <c r="M12" s="92" t="s">
        <v>178</v>
      </c>
      <c r="N12" s="94"/>
    </row>
    <row r="13" spans="1:15" x14ac:dyDescent="0.55000000000000004">
      <c r="A13" s="90"/>
      <c r="B13" s="91"/>
      <c r="C13" s="92" t="s">
        <v>5</v>
      </c>
      <c r="D13" s="91" t="s">
        <v>184</v>
      </c>
      <c r="E13" s="91"/>
      <c r="F13" s="92"/>
      <c r="G13" s="91"/>
      <c r="H13" s="91"/>
      <c r="I13" s="92" t="s">
        <v>185</v>
      </c>
      <c r="J13" s="92" t="s">
        <v>178</v>
      </c>
      <c r="K13" s="92" t="s">
        <v>189</v>
      </c>
      <c r="L13" s="92" t="s">
        <v>182</v>
      </c>
      <c r="M13" s="92" t="s">
        <v>178</v>
      </c>
      <c r="N13" s="94"/>
    </row>
    <row r="14" spans="1:15" x14ac:dyDescent="0.55000000000000004">
      <c r="A14" s="90"/>
      <c r="B14" s="91"/>
      <c r="C14" s="92" t="s">
        <v>5</v>
      </c>
      <c r="D14" s="91" t="s">
        <v>184</v>
      </c>
      <c r="E14" s="91"/>
      <c r="F14" s="91"/>
      <c r="G14" s="91"/>
      <c r="H14" s="91"/>
      <c r="I14" s="92" t="s">
        <v>185</v>
      </c>
      <c r="J14" s="92" t="s">
        <v>178</v>
      </c>
      <c r="K14" s="92" t="s">
        <v>189</v>
      </c>
      <c r="L14" s="92" t="s">
        <v>182</v>
      </c>
      <c r="M14" s="92" t="s">
        <v>178</v>
      </c>
      <c r="N14" s="94"/>
    </row>
    <row r="15" spans="1:15" x14ac:dyDescent="0.55000000000000004">
      <c r="A15" s="4"/>
      <c r="B15" s="35"/>
      <c r="C15" s="35"/>
      <c r="D15" s="35"/>
      <c r="E15" s="35"/>
      <c r="F15" s="35"/>
      <c r="G15" s="35"/>
      <c r="H15" s="35"/>
      <c r="I15" s="35"/>
      <c r="J15" s="35"/>
      <c r="K15" s="35"/>
      <c r="L15" s="77"/>
      <c r="M15" s="83"/>
      <c r="N15" s="82"/>
    </row>
    <row r="16" spans="1:15" x14ac:dyDescent="0.55000000000000004">
      <c r="A16" s="4"/>
      <c r="B16" s="35"/>
      <c r="C16" s="35"/>
      <c r="D16" s="35"/>
      <c r="E16" s="35"/>
      <c r="F16" s="35"/>
      <c r="G16" s="35"/>
      <c r="H16" s="35"/>
      <c r="I16" s="35"/>
      <c r="J16" s="35"/>
      <c r="K16" s="35"/>
      <c r="L16" s="77"/>
      <c r="M16" s="83"/>
      <c r="N16" s="82"/>
    </row>
    <row r="17" spans="1:14" x14ac:dyDescent="0.55000000000000004">
      <c r="A17" s="4"/>
      <c r="B17" s="54"/>
      <c r="C17" s="54"/>
      <c r="D17" s="54"/>
      <c r="E17" s="54"/>
      <c r="F17" s="54"/>
      <c r="G17" s="54"/>
      <c r="H17" s="54"/>
      <c r="I17" s="54"/>
      <c r="J17" s="54"/>
      <c r="K17" s="54"/>
      <c r="L17" s="76"/>
      <c r="M17" s="83"/>
      <c r="N17" s="78"/>
    </row>
    <row r="18" spans="1:14" x14ac:dyDescent="0.55000000000000004">
      <c r="A18" s="4"/>
      <c r="B18" s="54"/>
      <c r="C18" s="54"/>
      <c r="D18" s="54"/>
      <c r="E18" s="54"/>
      <c r="F18" s="54"/>
      <c r="G18" s="54"/>
      <c r="H18" s="54"/>
      <c r="I18" s="54"/>
      <c r="J18" s="54"/>
      <c r="K18" s="54"/>
      <c r="L18" s="76"/>
      <c r="M18" s="83"/>
      <c r="N18" s="78"/>
    </row>
    <row r="19" spans="1:14" x14ac:dyDescent="0.55000000000000004">
      <c r="A19" s="4"/>
      <c r="B19" s="54"/>
      <c r="C19" s="54"/>
      <c r="D19" s="54"/>
      <c r="E19" s="54"/>
      <c r="F19" s="54"/>
      <c r="G19" s="54"/>
      <c r="H19" s="54"/>
      <c r="I19" s="54"/>
      <c r="J19" s="54"/>
      <c r="K19" s="54"/>
      <c r="L19" s="77"/>
      <c r="M19" s="83"/>
      <c r="N19" s="79"/>
    </row>
    <row r="20" spans="1:14" x14ac:dyDescent="0.55000000000000004">
      <c r="A20" s="4"/>
      <c r="B20" s="54"/>
      <c r="C20" s="54"/>
      <c r="D20" s="54"/>
      <c r="E20" s="54"/>
      <c r="F20" s="54"/>
      <c r="G20" s="54"/>
      <c r="H20" s="54"/>
      <c r="I20" s="54"/>
      <c r="J20" s="54"/>
      <c r="K20" s="54"/>
      <c r="L20" s="77"/>
      <c r="M20" s="83"/>
      <c r="N20" s="79"/>
    </row>
    <row r="21" spans="1:14" x14ac:dyDescent="0.55000000000000004">
      <c r="A21" s="4"/>
      <c r="B21" s="54"/>
      <c r="C21" s="54"/>
      <c r="D21" s="54"/>
      <c r="E21" s="54"/>
      <c r="F21" s="54"/>
      <c r="G21" s="54"/>
      <c r="H21" s="54"/>
      <c r="I21" s="54"/>
      <c r="J21" s="54"/>
      <c r="K21" s="54"/>
      <c r="L21" s="77"/>
      <c r="M21" s="83"/>
      <c r="N21" s="79"/>
    </row>
    <row r="22" spans="1:14" x14ac:dyDescent="0.55000000000000004">
      <c r="A22" s="4"/>
      <c r="B22" s="54"/>
      <c r="C22" s="54"/>
      <c r="D22" s="54"/>
      <c r="E22" s="54"/>
      <c r="F22" s="54"/>
      <c r="G22" s="54"/>
      <c r="H22" s="54"/>
      <c r="I22" s="54"/>
      <c r="J22" s="54"/>
      <c r="K22" s="54"/>
      <c r="L22" s="77"/>
      <c r="M22" s="83"/>
      <c r="N22" s="79"/>
    </row>
    <row r="23" spans="1:14" x14ac:dyDescent="0.55000000000000004">
      <c r="A23" s="4"/>
      <c r="B23" s="54"/>
      <c r="C23" s="54"/>
      <c r="D23" s="54"/>
      <c r="E23" s="54"/>
      <c r="F23" s="54"/>
      <c r="G23" s="54"/>
      <c r="H23" s="54"/>
      <c r="I23" s="54"/>
      <c r="J23" s="54"/>
      <c r="K23" s="54"/>
      <c r="L23" s="77"/>
      <c r="M23" s="83"/>
      <c r="N23" s="79"/>
    </row>
    <row r="24" spans="1:14" x14ac:dyDescent="0.55000000000000004">
      <c r="A24" s="4"/>
      <c r="B24" s="54"/>
      <c r="C24" s="54"/>
      <c r="D24" s="54"/>
      <c r="E24" s="54"/>
      <c r="F24" s="54"/>
      <c r="G24" s="54"/>
      <c r="H24" s="54"/>
      <c r="I24" s="54"/>
      <c r="J24" s="54"/>
      <c r="K24" s="54"/>
      <c r="L24" s="77"/>
      <c r="M24" s="83"/>
      <c r="N24" s="79"/>
    </row>
    <row r="25" spans="1:14" x14ac:dyDescent="0.55000000000000004">
      <c r="A25" s="4"/>
      <c r="B25" s="54"/>
      <c r="C25" s="54"/>
      <c r="D25" s="54"/>
      <c r="E25" s="54"/>
      <c r="F25" s="54"/>
      <c r="G25" s="54"/>
      <c r="H25" s="54"/>
      <c r="I25" s="54"/>
      <c r="J25" s="54"/>
      <c r="K25" s="54"/>
      <c r="L25" s="77"/>
      <c r="M25" s="83"/>
      <c r="N25" s="79"/>
    </row>
    <row r="26" spans="1:14" x14ac:dyDescent="0.55000000000000004">
      <c r="A26" s="4"/>
      <c r="B26" s="54"/>
      <c r="C26" s="54"/>
      <c r="D26" s="54"/>
      <c r="E26" s="54"/>
      <c r="F26" s="54"/>
      <c r="G26" s="54"/>
      <c r="H26" s="54"/>
      <c r="I26" s="54"/>
      <c r="J26" s="54"/>
      <c r="K26" s="54"/>
      <c r="L26" s="77"/>
      <c r="M26" s="83"/>
      <c r="N26" s="79"/>
    </row>
    <row r="27" spans="1:14" x14ac:dyDescent="0.55000000000000004">
      <c r="A27" s="4"/>
      <c r="B27" s="54"/>
      <c r="C27" s="54"/>
      <c r="D27" s="54"/>
      <c r="E27" s="54"/>
      <c r="F27" s="54"/>
      <c r="G27" s="54"/>
      <c r="H27" s="54"/>
      <c r="I27" s="54"/>
      <c r="J27" s="54"/>
      <c r="K27" s="54"/>
      <c r="L27" s="77"/>
      <c r="M27" s="83"/>
      <c r="N27" s="79"/>
    </row>
    <row r="28" spans="1:14" x14ac:dyDescent="0.55000000000000004">
      <c r="A28" s="4"/>
      <c r="B28" s="54"/>
      <c r="C28" s="54"/>
      <c r="D28" s="54"/>
      <c r="E28" s="54"/>
      <c r="F28" s="54"/>
      <c r="G28" s="54"/>
      <c r="H28" s="54"/>
      <c r="I28" s="54"/>
      <c r="J28" s="54"/>
      <c r="K28" s="54"/>
      <c r="L28" s="77"/>
      <c r="M28" s="83"/>
      <c r="N28" s="79"/>
    </row>
    <row r="29" spans="1:14" x14ac:dyDescent="0.55000000000000004">
      <c r="A29" s="4"/>
      <c r="B29" s="54"/>
      <c r="C29" s="54"/>
      <c r="D29" s="54"/>
      <c r="E29" s="54"/>
      <c r="F29" s="54"/>
      <c r="G29" s="54"/>
      <c r="H29" s="54"/>
      <c r="I29" s="54"/>
      <c r="J29" s="54"/>
      <c r="K29" s="54"/>
      <c r="L29" s="77"/>
      <c r="M29" s="83"/>
      <c r="N29" s="79"/>
    </row>
    <row r="30" spans="1:14" x14ac:dyDescent="0.55000000000000004">
      <c r="A30" s="4"/>
      <c r="B30" s="54"/>
      <c r="C30" s="54"/>
      <c r="D30" s="54"/>
      <c r="E30" s="54"/>
      <c r="F30" s="54"/>
      <c r="G30" s="54"/>
      <c r="H30" s="54"/>
      <c r="I30" s="54"/>
      <c r="J30" s="54"/>
      <c r="K30" s="54"/>
      <c r="L30" s="77"/>
      <c r="M30" s="83"/>
      <c r="N30" s="79"/>
    </row>
    <row r="31" spans="1:14" x14ac:dyDescent="0.55000000000000004">
      <c r="A31" s="4"/>
      <c r="B31" s="54"/>
      <c r="C31" s="54"/>
      <c r="D31" s="54"/>
      <c r="E31" s="54"/>
      <c r="F31" s="54"/>
      <c r="G31" s="54"/>
      <c r="H31" s="54"/>
      <c r="I31" s="54"/>
      <c r="J31" s="54"/>
      <c r="K31" s="54"/>
      <c r="L31" s="77"/>
      <c r="M31" s="83"/>
      <c r="N31" s="79"/>
    </row>
    <row r="32" spans="1:14" x14ac:dyDescent="0.55000000000000004">
      <c r="A32" s="4"/>
      <c r="B32" s="54"/>
      <c r="C32" s="54"/>
      <c r="D32" s="54"/>
      <c r="E32" s="54"/>
      <c r="F32" s="54"/>
      <c r="G32" s="54"/>
      <c r="H32" s="54"/>
      <c r="I32" s="54"/>
      <c r="J32" s="54"/>
      <c r="K32" s="54"/>
      <c r="L32" s="77"/>
      <c r="M32" s="83"/>
      <c r="N32" s="79"/>
    </row>
    <row r="33" spans="1:14" x14ac:dyDescent="0.55000000000000004">
      <c r="A33" s="4"/>
      <c r="B33" s="54"/>
      <c r="C33" s="54"/>
      <c r="D33" s="54"/>
      <c r="E33" s="54"/>
      <c r="F33" s="54"/>
      <c r="G33" s="54"/>
      <c r="H33" s="54"/>
      <c r="I33" s="54"/>
      <c r="J33" s="54"/>
      <c r="K33" s="54"/>
      <c r="L33" s="77"/>
      <c r="M33" s="83"/>
      <c r="N33" s="79"/>
    </row>
    <row r="34" spans="1:14" x14ac:dyDescent="0.55000000000000004">
      <c r="A34" s="4"/>
      <c r="B34" s="54"/>
      <c r="C34" s="54"/>
      <c r="D34" s="54"/>
      <c r="E34" s="54"/>
      <c r="F34" s="54"/>
      <c r="G34" s="54"/>
      <c r="H34" s="54"/>
      <c r="I34" s="54"/>
      <c r="J34" s="54"/>
      <c r="K34" s="54"/>
      <c r="L34" s="77"/>
      <c r="M34" s="83"/>
      <c r="N34" s="79"/>
    </row>
    <row r="35" spans="1:14" x14ac:dyDescent="0.55000000000000004">
      <c r="A35" s="4"/>
      <c r="B35" s="54"/>
      <c r="C35" s="54"/>
      <c r="D35" s="54"/>
      <c r="E35" s="54"/>
      <c r="F35" s="54"/>
      <c r="G35" s="54"/>
      <c r="H35" s="54"/>
      <c r="I35" s="54"/>
      <c r="J35" s="54"/>
      <c r="K35" s="54"/>
      <c r="L35" s="77"/>
      <c r="M35" s="83"/>
      <c r="N35" s="79"/>
    </row>
    <row r="36" spans="1:14" x14ac:dyDescent="0.55000000000000004">
      <c r="A36" s="4"/>
      <c r="B36" s="54"/>
      <c r="C36" s="54"/>
      <c r="D36" s="54"/>
      <c r="E36" s="54"/>
      <c r="F36" s="54"/>
      <c r="G36" s="54"/>
      <c r="H36" s="54"/>
      <c r="I36" s="54"/>
      <c r="J36" s="54"/>
      <c r="K36" s="54"/>
      <c r="L36" s="77"/>
      <c r="M36" s="83"/>
      <c r="N36" s="79"/>
    </row>
    <row r="37" spans="1:14" x14ac:dyDescent="0.55000000000000004">
      <c r="A37" s="4"/>
      <c r="B37" s="54"/>
      <c r="C37" s="54"/>
      <c r="D37" s="54"/>
      <c r="E37" s="54"/>
      <c r="F37" s="54"/>
      <c r="G37" s="54"/>
      <c r="H37" s="54"/>
      <c r="I37" s="54"/>
      <c r="J37" s="54"/>
      <c r="K37" s="54"/>
      <c r="L37" s="77"/>
      <c r="M37" s="83"/>
      <c r="N37" s="79"/>
    </row>
    <row r="38" spans="1:14" x14ac:dyDescent="0.55000000000000004">
      <c r="A38" s="4"/>
      <c r="B38" s="54"/>
      <c r="C38" s="54"/>
      <c r="D38" s="54"/>
      <c r="E38" s="54"/>
      <c r="F38" s="54"/>
      <c r="G38" s="54"/>
      <c r="H38" s="54"/>
      <c r="I38" s="54"/>
      <c r="J38" s="54"/>
      <c r="K38" s="54"/>
      <c r="L38" s="77"/>
      <c r="M38" s="83"/>
      <c r="N38" s="79"/>
    </row>
    <row r="39" spans="1:14" x14ac:dyDescent="0.55000000000000004">
      <c r="A39" s="4"/>
      <c r="B39" s="54"/>
      <c r="C39" s="54"/>
      <c r="D39" s="54"/>
      <c r="E39" s="54"/>
      <c r="F39" s="54"/>
      <c r="G39" s="54"/>
      <c r="H39" s="54"/>
      <c r="I39" s="54"/>
      <c r="J39" s="54"/>
      <c r="K39" s="54"/>
      <c r="L39" s="77"/>
      <c r="M39" s="83"/>
      <c r="N39" s="80"/>
    </row>
  </sheetData>
  <mergeCells count="2">
    <mergeCell ref="N1:N2"/>
    <mergeCell ref="A1:I2"/>
  </mergeCells>
  <dataValidations xWindow="908" yWindow="425" count="4">
    <dataValidation type="list" showInputMessage="1" showErrorMessage="1" sqref="F36:F39">
      <formula1>$B$5:$B$24</formula1>
    </dataValidation>
    <dataValidation type="list" showInputMessage="1" showErrorMessage="1" sqref="C5:C39">
      <formula1>CAN_P</formula1>
    </dataValidation>
    <dataValidation showInputMessage="1" showErrorMessage="1" prompt="integer between -30 and 10 millions" sqref="G5:G39"/>
    <dataValidation type="list" showInputMessage="1" showErrorMessage="1" sqref="E5:E39">
      <formula1>INDIRECT(D5)</formula1>
    </dataValidation>
  </dataValidations>
  <pageMargins left="0.7" right="0.7" top="0.75" bottom="0.75" header="0.3" footer="0.3"/>
  <pageSetup orientation="portrait"/>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J36"/>
  <sheetViews>
    <sheetView workbookViewId="0">
      <selection activeCell="C12" sqref="C12:E12"/>
    </sheetView>
  </sheetViews>
  <sheetFormatPr defaultRowHeight="14.4" x14ac:dyDescent="0.55000000000000004"/>
  <cols>
    <col min="1" max="1" width="39.578125" style="27" bestFit="1" customWidth="1"/>
    <col min="2" max="2" width="16.15625" style="27" customWidth="1"/>
    <col min="3" max="3" width="23" style="27" customWidth="1"/>
    <col min="4" max="4" width="18.578125" style="27" customWidth="1"/>
    <col min="5" max="5" width="29.15625" style="27" customWidth="1"/>
    <col min="6" max="6" width="38.41796875" style="27" customWidth="1"/>
    <col min="7" max="7" width="25.41796875" style="27" customWidth="1"/>
    <col min="8" max="8" width="21.15625" style="27" customWidth="1"/>
    <col min="9" max="9" width="25" style="27" customWidth="1"/>
    <col min="10" max="10" width="44.578125" style="27" customWidth="1"/>
  </cols>
  <sheetData>
    <row r="1" spans="1:10" ht="24.75" customHeight="1" x14ac:dyDescent="1.1000000000000001">
      <c r="A1" s="139" t="s">
        <v>190</v>
      </c>
      <c r="B1" s="125"/>
      <c r="C1" s="125"/>
      <c r="D1" s="48">
        <f>Years</f>
        <v>2019</v>
      </c>
      <c r="E1" s="42" t="str">
        <f>make</f>
        <v>HONDA PUSH2START GAZ</v>
      </c>
      <c r="F1" s="41" t="str">
        <f>model</f>
        <v>ACCORD 4DOOR SEDAN</v>
      </c>
      <c r="G1" s="29"/>
      <c r="H1" s="30"/>
      <c r="I1" s="29"/>
      <c r="J1" s="129"/>
    </row>
    <row r="2" spans="1:10" ht="35.25" customHeight="1" x14ac:dyDescent="0.55000000000000004">
      <c r="A2" s="128"/>
      <c r="B2" s="128"/>
      <c r="C2" s="128"/>
      <c r="D2" s="23" t="str">
        <f>tran</f>
        <v>Auto</v>
      </c>
      <c r="E2" s="20" t="str">
        <f>car</f>
        <v>Key</v>
      </c>
      <c r="F2" s="23"/>
      <c r="G2" s="23"/>
      <c r="H2" s="23"/>
      <c r="I2" s="23"/>
      <c r="J2" s="128"/>
    </row>
    <row r="3" spans="1:10" x14ac:dyDescent="0.55000000000000004">
      <c r="A3" s="140" t="s">
        <v>191</v>
      </c>
      <c r="B3" s="141" t="s">
        <v>192</v>
      </c>
      <c r="C3" s="141" t="s">
        <v>193</v>
      </c>
      <c r="D3" s="142"/>
      <c r="E3" s="142"/>
    </row>
    <row r="4" spans="1:10" x14ac:dyDescent="0.55000000000000004">
      <c r="A4" s="125"/>
      <c r="B4" s="125"/>
      <c r="C4" s="125"/>
      <c r="D4" s="125"/>
      <c r="E4" s="125"/>
    </row>
    <row r="5" spans="1:10" x14ac:dyDescent="0.55000000000000004">
      <c r="A5" s="125"/>
      <c r="B5" s="125"/>
      <c r="C5" s="125"/>
      <c r="D5" s="125"/>
      <c r="E5" s="125"/>
    </row>
    <row r="6" spans="1:10" x14ac:dyDescent="0.55000000000000004">
      <c r="A6" s="125"/>
      <c r="B6" s="125"/>
      <c r="C6" s="125"/>
      <c r="D6" s="125"/>
      <c r="E6" s="125"/>
    </row>
    <row r="7" spans="1:10" x14ac:dyDescent="0.55000000000000004">
      <c r="A7" s="125"/>
      <c r="B7" s="128"/>
      <c r="C7" s="128"/>
      <c r="D7" s="128"/>
      <c r="E7" s="128"/>
    </row>
    <row r="8" spans="1:10" ht="90.6" customHeight="1" x14ac:dyDescent="0.55000000000000004">
      <c r="A8" s="50" t="s">
        <v>194</v>
      </c>
      <c r="B8" s="51" t="s">
        <v>195</v>
      </c>
      <c r="C8" s="136" t="s">
        <v>196</v>
      </c>
      <c r="D8" s="137"/>
      <c r="E8" s="138"/>
    </row>
    <row r="9" spans="1:10" ht="123.6" customHeight="1" x14ac:dyDescent="0.55000000000000004">
      <c r="A9" s="50" t="s">
        <v>197</v>
      </c>
      <c r="B9" s="51" t="s">
        <v>195</v>
      </c>
      <c r="C9" s="135" t="s">
        <v>198</v>
      </c>
      <c r="D9" s="133"/>
      <c r="E9" s="134"/>
    </row>
    <row r="10" spans="1:10" ht="92.5" customHeight="1" x14ac:dyDescent="0.55000000000000004">
      <c r="A10" s="50" t="s">
        <v>199</v>
      </c>
      <c r="B10" s="51" t="s">
        <v>195</v>
      </c>
      <c r="C10" s="135" t="s">
        <v>200</v>
      </c>
      <c r="D10" s="133"/>
      <c r="E10" s="134"/>
    </row>
    <row r="11" spans="1:10" ht="65.5" customHeight="1" x14ac:dyDescent="0.55000000000000004">
      <c r="A11" s="50" t="s">
        <v>201</v>
      </c>
      <c r="B11" s="52" t="s">
        <v>195</v>
      </c>
      <c r="C11" s="135" t="s">
        <v>202</v>
      </c>
      <c r="D11" s="133"/>
      <c r="E11" s="134"/>
    </row>
    <row r="12" spans="1:10" ht="64.900000000000006" customHeight="1" x14ac:dyDescent="0.55000000000000004">
      <c r="A12" s="50" t="s">
        <v>203</v>
      </c>
      <c r="B12" s="52" t="s">
        <v>195</v>
      </c>
      <c r="C12" s="135" t="s">
        <v>204</v>
      </c>
      <c r="D12" s="133"/>
      <c r="E12" s="134"/>
    </row>
    <row r="13" spans="1:10" ht="131.5" customHeight="1" x14ac:dyDescent="0.55000000000000004">
      <c r="A13" s="50" t="s">
        <v>205</v>
      </c>
      <c r="B13" s="51" t="s">
        <v>195</v>
      </c>
      <c r="C13" s="135" t="s">
        <v>206</v>
      </c>
      <c r="D13" s="133"/>
      <c r="E13" s="134"/>
    </row>
    <row r="14" spans="1:10" ht="105" customHeight="1" x14ac:dyDescent="0.55000000000000004">
      <c r="A14" s="50" t="s">
        <v>207</v>
      </c>
      <c r="B14" s="51" t="s">
        <v>195</v>
      </c>
      <c r="C14" s="135" t="s">
        <v>208</v>
      </c>
      <c r="D14" s="133"/>
      <c r="E14" s="134"/>
    </row>
    <row r="15" spans="1:10" ht="94.15" customHeight="1" x14ac:dyDescent="0.55000000000000004">
      <c r="A15" s="50" t="s">
        <v>209</v>
      </c>
      <c r="B15" s="51" t="s">
        <v>195</v>
      </c>
      <c r="C15" s="135" t="s">
        <v>210</v>
      </c>
      <c r="D15" s="133"/>
      <c r="E15" s="134"/>
    </row>
    <row r="16" spans="1:10" x14ac:dyDescent="0.55000000000000004">
      <c r="A16" s="50" t="s">
        <v>211</v>
      </c>
      <c r="B16" s="51" t="s">
        <v>212</v>
      </c>
      <c r="C16" s="132"/>
      <c r="D16" s="133"/>
      <c r="E16" s="134"/>
    </row>
    <row r="17" spans="1:5" x14ac:dyDescent="0.55000000000000004">
      <c r="A17" s="50" t="s">
        <v>213</v>
      </c>
      <c r="B17" s="51" t="s">
        <v>212</v>
      </c>
      <c r="C17" s="132"/>
      <c r="D17" s="133"/>
      <c r="E17" s="134"/>
    </row>
    <row r="18" spans="1:5" x14ac:dyDescent="0.55000000000000004">
      <c r="A18" s="50" t="s">
        <v>214</v>
      </c>
      <c r="B18" s="51" t="s">
        <v>212</v>
      </c>
      <c r="C18" s="132"/>
      <c r="D18" s="133"/>
      <c r="E18" s="134"/>
    </row>
    <row r="19" spans="1:5" x14ac:dyDescent="0.55000000000000004">
      <c r="A19" s="50" t="s">
        <v>215</v>
      </c>
      <c r="B19" s="51" t="s">
        <v>212</v>
      </c>
      <c r="C19" s="132"/>
      <c r="D19" s="133"/>
      <c r="E19" s="134"/>
    </row>
    <row r="20" spans="1:5" x14ac:dyDescent="0.55000000000000004">
      <c r="A20" s="50" t="s">
        <v>216</v>
      </c>
      <c r="B20" s="51" t="s">
        <v>212</v>
      </c>
      <c r="C20" s="132"/>
      <c r="D20" s="133"/>
      <c r="E20" s="134"/>
    </row>
    <row r="21" spans="1:5" ht="100.15" customHeight="1" x14ac:dyDescent="0.55000000000000004">
      <c r="A21" s="50" t="s">
        <v>217</v>
      </c>
      <c r="B21" s="51" t="s">
        <v>195</v>
      </c>
      <c r="C21" s="136" t="s">
        <v>196</v>
      </c>
      <c r="D21" s="137"/>
      <c r="E21" s="138"/>
    </row>
    <row r="22" spans="1:5" ht="119.5" customHeight="1" x14ac:dyDescent="0.55000000000000004">
      <c r="A22" s="50" t="s">
        <v>218</v>
      </c>
      <c r="B22" s="51" t="s">
        <v>195</v>
      </c>
      <c r="C22" s="135" t="s">
        <v>200</v>
      </c>
      <c r="D22" s="133"/>
      <c r="E22" s="134"/>
    </row>
    <row r="23" spans="1:5" x14ac:dyDescent="0.55000000000000004">
      <c r="A23" s="50" t="s">
        <v>219</v>
      </c>
      <c r="B23" s="51" t="s">
        <v>212</v>
      </c>
      <c r="C23" s="132"/>
      <c r="D23" s="133"/>
      <c r="E23" s="134"/>
    </row>
    <row r="24" spans="1:5" x14ac:dyDescent="0.55000000000000004">
      <c r="A24" s="50" t="s">
        <v>220</v>
      </c>
      <c r="B24" s="51" t="s">
        <v>212</v>
      </c>
      <c r="C24" s="132"/>
      <c r="D24" s="133"/>
      <c r="E24" s="134"/>
    </row>
    <row r="25" spans="1:5" x14ac:dyDescent="0.55000000000000004">
      <c r="A25" s="50" t="s">
        <v>221</v>
      </c>
      <c r="B25" s="51" t="s">
        <v>212</v>
      </c>
      <c r="C25" s="132"/>
      <c r="D25" s="133"/>
      <c r="E25" s="134"/>
    </row>
    <row r="26" spans="1:5" x14ac:dyDescent="0.55000000000000004">
      <c r="A26" s="50" t="s">
        <v>222</v>
      </c>
      <c r="B26" s="51" t="s">
        <v>212</v>
      </c>
      <c r="C26" s="132"/>
      <c r="D26" s="133"/>
      <c r="E26" s="134"/>
    </row>
    <row r="27" spans="1:5" x14ac:dyDescent="0.55000000000000004">
      <c r="A27" s="50" t="s">
        <v>223</v>
      </c>
      <c r="B27" s="51" t="s">
        <v>212</v>
      </c>
      <c r="C27" s="132"/>
      <c r="D27" s="133"/>
      <c r="E27" s="134"/>
    </row>
    <row r="28" spans="1:5" x14ac:dyDescent="0.55000000000000004">
      <c r="A28" s="50" t="s">
        <v>224</v>
      </c>
      <c r="B28" s="51" t="s">
        <v>212</v>
      </c>
      <c r="C28" s="132"/>
      <c r="D28" s="133"/>
      <c r="E28" s="134"/>
    </row>
    <row r="29" spans="1:5" x14ac:dyDescent="0.55000000000000004">
      <c r="A29" s="50" t="s">
        <v>225</v>
      </c>
      <c r="B29" s="51" t="s">
        <v>212</v>
      </c>
      <c r="C29" s="132"/>
      <c r="D29" s="133"/>
      <c r="E29" s="134"/>
    </row>
    <row r="30" spans="1:5" x14ac:dyDescent="0.55000000000000004">
      <c r="A30" s="50" t="s">
        <v>226</v>
      </c>
      <c r="B30" s="51" t="s">
        <v>212</v>
      </c>
      <c r="C30" s="132"/>
      <c r="D30" s="133"/>
      <c r="E30" s="134"/>
    </row>
    <row r="31" spans="1:5" x14ac:dyDescent="0.55000000000000004">
      <c r="A31" s="50" t="s">
        <v>227</v>
      </c>
      <c r="B31" s="51" t="s">
        <v>212</v>
      </c>
      <c r="C31" s="132"/>
      <c r="D31" s="133"/>
      <c r="E31" s="134"/>
    </row>
    <row r="32" spans="1:5" x14ac:dyDescent="0.55000000000000004">
      <c r="A32" s="50" t="s">
        <v>228</v>
      </c>
      <c r="B32" s="51" t="s">
        <v>212</v>
      </c>
      <c r="C32" s="132"/>
      <c r="D32" s="133"/>
      <c r="E32" s="134"/>
    </row>
    <row r="33" spans="1:5" x14ac:dyDescent="0.55000000000000004">
      <c r="A33" s="50" t="s">
        <v>229</v>
      </c>
      <c r="B33" s="51" t="s">
        <v>212</v>
      </c>
      <c r="C33" s="132"/>
      <c r="D33" s="133"/>
      <c r="E33" s="134"/>
    </row>
    <row r="34" spans="1:5" ht="23.5" customHeight="1" x14ac:dyDescent="0.55000000000000004">
      <c r="A34" s="50" t="s">
        <v>230</v>
      </c>
      <c r="B34" s="51" t="s">
        <v>195</v>
      </c>
      <c r="C34" s="135" t="s">
        <v>231</v>
      </c>
      <c r="D34" s="133"/>
      <c r="E34" s="134"/>
    </row>
    <row r="35" spans="1:5" x14ac:dyDescent="0.55000000000000004">
      <c r="A35" s="50" t="s">
        <v>232</v>
      </c>
      <c r="B35" s="51" t="s">
        <v>212</v>
      </c>
      <c r="C35" s="132"/>
      <c r="D35" s="133"/>
      <c r="E35" s="134"/>
    </row>
    <row r="36" spans="1:5" x14ac:dyDescent="0.55000000000000004">
      <c r="A36" s="50" t="s">
        <v>233</v>
      </c>
      <c r="B36" s="51" t="s">
        <v>212</v>
      </c>
      <c r="C36" s="132"/>
      <c r="D36" s="133"/>
      <c r="E36" s="134"/>
    </row>
  </sheetData>
  <mergeCells count="34">
    <mergeCell ref="C8:E8"/>
    <mergeCell ref="A1:C2"/>
    <mergeCell ref="J1:J2"/>
    <mergeCell ref="A3:A7"/>
    <mergeCell ref="B3:B7"/>
    <mergeCell ref="C3:E7"/>
    <mergeCell ref="C24:E24"/>
    <mergeCell ref="C9:E9"/>
    <mergeCell ref="C10:E10"/>
    <mergeCell ref="C15:E15"/>
    <mergeCell ref="C16:E16"/>
    <mergeCell ref="C17:E17"/>
    <mergeCell ref="C18:E18"/>
    <mergeCell ref="C19:E19"/>
    <mergeCell ref="C20:E20"/>
    <mergeCell ref="C21:E21"/>
    <mergeCell ref="C22:E22"/>
    <mergeCell ref="C23:E23"/>
    <mergeCell ref="C11:E11"/>
    <mergeCell ref="C12:E12"/>
    <mergeCell ref="C13:E13"/>
    <mergeCell ref="C14:E14"/>
    <mergeCell ref="C36:E36"/>
    <mergeCell ref="C25:E25"/>
    <mergeCell ref="C26:E26"/>
    <mergeCell ref="C27:E27"/>
    <mergeCell ref="C28:E28"/>
    <mergeCell ref="C29:E29"/>
    <mergeCell ref="C30:E30"/>
    <mergeCell ref="C31:E31"/>
    <mergeCell ref="C32:E32"/>
    <mergeCell ref="C33:E33"/>
    <mergeCell ref="C34:E34"/>
    <mergeCell ref="C35:E35"/>
  </mergeCells>
  <dataValidations count="1">
    <dataValidation type="list" showInputMessage="1" showErrorMessage="1" sqref="B8:B36">
      <formula1>ACTIVE</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I1048576"/>
  <sheetViews>
    <sheetView workbookViewId="0">
      <pane ySplit="3" topLeftCell="A4" activePane="bottomLeft" state="frozen"/>
      <selection pane="bottomLeft" activeCell="D6" sqref="D6"/>
    </sheetView>
  </sheetViews>
  <sheetFormatPr defaultRowHeight="14.4" x14ac:dyDescent="0.55000000000000004"/>
  <cols>
    <col min="1" max="1" width="23.15625" style="27" customWidth="1"/>
    <col min="2" max="4" width="16.41796875" style="27" customWidth="1"/>
    <col min="5" max="5" width="26.41796875" style="27" customWidth="1"/>
    <col min="6" max="6" width="29.41796875" style="27" customWidth="1"/>
    <col min="7" max="7" width="21.15625" style="27" customWidth="1"/>
    <col min="8" max="8" width="22.41796875" style="27" customWidth="1"/>
    <col min="9" max="9" width="37.41796875" style="27" customWidth="1"/>
  </cols>
  <sheetData>
    <row r="1" spans="1:9" ht="28.5" customHeight="1" x14ac:dyDescent="1.1000000000000001">
      <c r="A1" s="3"/>
      <c r="B1" s="3"/>
      <c r="C1" s="3"/>
      <c r="D1" s="48">
        <f>Years</f>
        <v>2019</v>
      </c>
      <c r="E1" s="42" t="str">
        <f>make</f>
        <v>HONDA PUSH2START GAZ</v>
      </c>
      <c r="F1" s="41" t="str">
        <f>model</f>
        <v>ACCORD 4DOOR SEDAN</v>
      </c>
      <c r="G1" s="30"/>
      <c r="H1" s="29"/>
      <c r="I1" s="24"/>
    </row>
    <row r="2" spans="1:9" ht="26.25" customHeight="1" x14ac:dyDescent="1.1000000000000001">
      <c r="A2" s="3"/>
      <c r="B2" s="3"/>
      <c r="C2" s="3"/>
      <c r="D2" s="48" t="str">
        <f>tran</f>
        <v>Auto</v>
      </c>
      <c r="E2" s="42" t="str">
        <f>car</f>
        <v>Key</v>
      </c>
      <c r="F2" s="38"/>
      <c r="G2" s="23"/>
      <c r="H2" s="23"/>
      <c r="I2" s="30"/>
    </row>
    <row r="3" spans="1:9" ht="19.899999999999999" customHeight="1" x14ac:dyDescent="0.55000000000000004">
      <c r="A3" s="68" t="s">
        <v>165</v>
      </c>
      <c r="B3" s="68" t="s">
        <v>234</v>
      </c>
      <c r="C3" s="68" t="s">
        <v>235</v>
      </c>
      <c r="D3" s="68" t="s">
        <v>236</v>
      </c>
      <c r="E3" s="68" t="s">
        <v>237</v>
      </c>
      <c r="F3" s="68" t="s">
        <v>238</v>
      </c>
      <c r="G3" s="53" t="s">
        <v>239</v>
      </c>
      <c r="H3" s="53" t="s">
        <v>240</v>
      </c>
      <c r="I3" s="68" t="s">
        <v>81</v>
      </c>
    </row>
    <row r="4" spans="1:9" ht="15" customHeight="1" x14ac:dyDescent="0.55000000000000004">
      <c r="A4" s="4" t="s">
        <v>241</v>
      </c>
      <c r="B4" s="36">
        <v>400</v>
      </c>
      <c r="C4" s="36" t="s">
        <v>242</v>
      </c>
      <c r="D4" s="54" t="s">
        <v>243</v>
      </c>
      <c r="E4" s="54" t="s">
        <v>244</v>
      </c>
      <c r="F4" s="54" t="s">
        <v>245</v>
      </c>
      <c r="G4" s="54" t="s">
        <v>245</v>
      </c>
      <c r="H4" s="54" t="s">
        <v>245</v>
      </c>
      <c r="I4" s="34" t="s">
        <v>246</v>
      </c>
    </row>
    <row r="5" spans="1:9" ht="15" customHeight="1" x14ac:dyDescent="0.55000000000000004">
      <c r="A5" s="4" t="s">
        <v>247</v>
      </c>
      <c r="B5" s="34" t="s">
        <v>245</v>
      </c>
      <c r="C5" s="34" t="s">
        <v>245</v>
      </c>
      <c r="D5" s="34" t="s">
        <v>245</v>
      </c>
      <c r="E5" s="34" t="s">
        <v>245</v>
      </c>
      <c r="F5" s="34" t="s">
        <v>245</v>
      </c>
      <c r="G5" s="34" t="s">
        <v>245</v>
      </c>
      <c r="H5" s="34" t="s">
        <v>245</v>
      </c>
      <c r="I5" s="34"/>
    </row>
    <row r="6" spans="1:9" x14ac:dyDescent="0.55000000000000004">
      <c r="A6" s="4" t="s">
        <v>248</v>
      </c>
      <c r="B6" s="36">
        <v>1500</v>
      </c>
      <c r="C6" s="36"/>
      <c r="D6" s="36" t="s">
        <v>249</v>
      </c>
      <c r="E6" s="54" t="s">
        <v>244</v>
      </c>
      <c r="F6" s="54" t="s">
        <v>245</v>
      </c>
      <c r="G6" s="54" t="s">
        <v>245</v>
      </c>
      <c r="H6" s="54" t="s">
        <v>245</v>
      </c>
      <c r="I6" s="34" t="s">
        <v>246</v>
      </c>
    </row>
    <row r="7" spans="1:9" x14ac:dyDescent="0.55000000000000004">
      <c r="A7" s="4" t="s">
        <v>250</v>
      </c>
      <c r="B7" s="34" t="s">
        <v>245</v>
      </c>
      <c r="C7" s="34" t="s">
        <v>245</v>
      </c>
      <c r="D7" s="34" t="s">
        <v>245</v>
      </c>
      <c r="E7" s="34" t="s">
        <v>245</v>
      </c>
      <c r="F7" s="34" t="s">
        <v>245</v>
      </c>
      <c r="G7" s="34" t="s">
        <v>245</v>
      </c>
      <c r="H7" s="34" t="s">
        <v>245</v>
      </c>
      <c r="I7" s="34"/>
    </row>
    <row r="8" spans="1:9" x14ac:dyDescent="0.55000000000000004">
      <c r="A8" s="4" t="s">
        <v>251</v>
      </c>
      <c r="B8" s="54" t="s">
        <v>252</v>
      </c>
      <c r="C8" s="36" t="s">
        <v>242</v>
      </c>
      <c r="D8" s="54" t="s">
        <v>253</v>
      </c>
      <c r="E8" s="54" t="s">
        <v>244</v>
      </c>
      <c r="F8" s="54" t="s">
        <v>245</v>
      </c>
      <c r="G8" s="54" t="s">
        <v>245</v>
      </c>
      <c r="H8" s="54" t="s">
        <v>245</v>
      </c>
      <c r="I8" s="34" t="s">
        <v>254</v>
      </c>
    </row>
    <row r="9" spans="1:9" x14ac:dyDescent="0.55000000000000004">
      <c r="A9" s="37" t="s">
        <v>255</v>
      </c>
      <c r="B9" s="34" t="s">
        <v>245</v>
      </c>
      <c r="C9" s="34" t="s">
        <v>245</v>
      </c>
      <c r="D9" s="34" t="s">
        <v>245</v>
      </c>
      <c r="E9" s="34" t="s">
        <v>245</v>
      </c>
      <c r="F9" s="34" t="s">
        <v>245</v>
      </c>
      <c r="G9" s="34" t="s">
        <v>245</v>
      </c>
      <c r="H9" s="34" t="s">
        <v>245</v>
      </c>
      <c r="I9" s="34"/>
    </row>
    <row r="10" spans="1:9" x14ac:dyDescent="0.55000000000000004">
      <c r="A10" s="37" t="s">
        <v>256</v>
      </c>
      <c r="B10" s="34" t="s">
        <v>245</v>
      </c>
      <c r="C10" s="36" t="s">
        <v>257</v>
      </c>
      <c r="D10" s="36" t="s">
        <v>258</v>
      </c>
      <c r="E10" s="54" t="s">
        <v>244</v>
      </c>
      <c r="F10" s="54" t="s">
        <v>245</v>
      </c>
      <c r="G10" s="54" t="s">
        <v>245</v>
      </c>
      <c r="H10" s="54" t="s">
        <v>245</v>
      </c>
      <c r="I10" s="34" t="s">
        <v>259</v>
      </c>
    </row>
    <row r="11" spans="1:9" x14ac:dyDescent="0.55000000000000004">
      <c r="A11" s="37" t="s">
        <v>260</v>
      </c>
      <c r="B11" s="34" t="s">
        <v>245</v>
      </c>
      <c r="C11" s="36" t="s">
        <v>257</v>
      </c>
      <c r="D11" s="36" t="s">
        <v>261</v>
      </c>
      <c r="E11" s="54" t="s">
        <v>244</v>
      </c>
      <c r="F11" s="54" t="s">
        <v>245</v>
      </c>
      <c r="G11" s="54" t="s">
        <v>245</v>
      </c>
      <c r="H11" s="54" t="s">
        <v>245</v>
      </c>
      <c r="I11" s="34" t="s">
        <v>259</v>
      </c>
    </row>
    <row r="12" spans="1:9" x14ac:dyDescent="0.55000000000000004">
      <c r="A12" s="37" t="s">
        <v>262</v>
      </c>
      <c r="B12" s="54" t="s">
        <v>263</v>
      </c>
      <c r="C12" s="36" t="s">
        <v>264</v>
      </c>
      <c r="D12" s="36" t="s">
        <v>243</v>
      </c>
      <c r="E12" s="54" t="s">
        <v>244</v>
      </c>
      <c r="F12" s="54" t="s">
        <v>245</v>
      </c>
      <c r="G12" s="54" t="s">
        <v>265</v>
      </c>
      <c r="H12" s="54" t="s">
        <v>245</v>
      </c>
      <c r="I12" s="34" t="s">
        <v>266</v>
      </c>
    </row>
    <row r="13" spans="1:9" x14ac:dyDescent="0.55000000000000004">
      <c r="A13" s="37" t="s">
        <v>267</v>
      </c>
      <c r="B13" s="34" t="s">
        <v>245</v>
      </c>
      <c r="C13" s="36" t="s">
        <v>242</v>
      </c>
      <c r="D13" s="36" t="s">
        <v>268</v>
      </c>
      <c r="E13" s="54" t="s">
        <v>244</v>
      </c>
      <c r="F13" s="54" t="s">
        <v>245</v>
      </c>
      <c r="G13" s="54" t="s">
        <v>245</v>
      </c>
      <c r="H13" s="54" t="s">
        <v>245</v>
      </c>
      <c r="I13" s="34" t="s">
        <v>254</v>
      </c>
    </row>
    <row r="14" spans="1:9" x14ac:dyDescent="0.55000000000000004">
      <c r="A14" s="55" t="s">
        <v>269</v>
      </c>
      <c r="B14" s="34" t="s">
        <v>245</v>
      </c>
      <c r="C14" s="34" t="s">
        <v>245</v>
      </c>
      <c r="D14" s="34" t="s">
        <v>270</v>
      </c>
      <c r="E14" s="54" t="s">
        <v>244</v>
      </c>
      <c r="F14" s="54" t="s">
        <v>245</v>
      </c>
      <c r="G14" s="54" t="s">
        <v>245</v>
      </c>
      <c r="H14" s="54" t="s">
        <v>245</v>
      </c>
      <c r="I14" s="34" t="s">
        <v>246</v>
      </c>
    </row>
    <row r="15" spans="1:9" x14ac:dyDescent="0.55000000000000004">
      <c r="A15" s="6"/>
      <c r="B15" s="34"/>
      <c r="C15" s="34"/>
      <c r="D15" s="34"/>
      <c r="E15" s="54"/>
      <c r="F15" s="54"/>
      <c r="G15" s="35"/>
      <c r="H15" s="35"/>
      <c r="I15" s="34"/>
    </row>
    <row r="16" spans="1:9" x14ac:dyDescent="0.55000000000000004">
      <c r="A16" s="6"/>
      <c r="B16" s="34"/>
      <c r="C16" s="34"/>
      <c r="D16" s="34"/>
      <c r="E16" s="54"/>
      <c r="F16" s="54"/>
      <c r="G16" s="35"/>
      <c r="H16" s="35"/>
      <c r="I16" s="34"/>
    </row>
    <row r="17" spans="1:9" x14ac:dyDescent="0.55000000000000004">
      <c r="A17" s="4"/>
      <c r="B17" s="36"/>
      <c r="C17" s="36"/>
      <c r="D17" s="54"/>
      <c r="E17" s="54"/>
      <c r="F17" s="54"/>
      <c r="G17" s="54"/>
      <c r="H17" s="54"/>
      <c r="I17" s="34"/>
    </row>
    <row r="18" spans="1:9" x14ac:dyDescent="0.55000000000000004">
      <c r="A18" s="4"/>
      <c r="B18" s="36"/>
      <c r="C18" s="36"/>
      <c r="D18" s="36"/>
      <c r="E18" s="54"/>
      <c r="F18" s="54"/>
      <c r="G18" s="54"/>
      <c r="H18" s="54"/>
      <c r="I18" s="34"/>
    </row>
    <row r="19" spans="1:9" x14ac:dyDescent="0.55000000000000004">
      <c r="A19" s="4"/>
      <c r="B19" s="54"/>
      <c r="C19" s="36"/>
      <c r="D19" s="54"/>
      <c r="E19" s="54"/>
      <c r="F19" s="54"/>
      <c r="G19" s="54"/>
      <c r="H19" s="54"/>
      <c r="I19" s="34"/>
    </row>
    <row r="20" spans="1:9" x14ac:dyDescent="0.55000000000000004">
      <c r="A20" s="6"/>
      <c r="B20" s="34"/>
      <c r="C20" s="34"/>
      <c r="D20" s="34"/>
      <c r="E20" s="54"/>
      <c r="F20" s="54"/>
      <c r="G20" s="35"/>
      <c r="H20" s="35"/>
      <c r="I20" s="34"/>
    </row>
    <row r="21" spans="1:9" x14ac:dyDescent="0.55000000000000004">
      <c r="A21" s="6"/>
      <c r="B21" s="34"/>
      <c r="C21" s="34"/>
      <c r="D21" s="34"/>
      <c r="E21" s="54"/>
      <c r="F21" s="54"/>
      <c r="G21" s="35"/>
      <c r="H21" s="35"/>
      <c r="I21" s="34"/>
    </row>
    <row r="22" spans="1:9" x14ac:dyDescent="0.55000000000000004">
      <c r="A22" s="6"/>
      <c r="B22" s="34"/>
      <c r="C22" s="34"/>
      <c r="D22" s="34"/>
      <c r="E22" s="54"/>
      <c r="F22" s="54"/>
      <c r="G22" s="35"/>
      <c r="H22" s="35"/>
      <c r="I22" s="34"/>
    </row>
    <row r="23" spans="1:9" x14ac:dyDescent="0.55000000000000004">
      <c r="A23" s="6"/>
      <c r="B23" s="34"/>
      <c r="C23" s="34"/>
      <c r="D23" s="34"/>
      <c r="E23" s="54"/>
      <c r="F23" s="54"/>
      <c r="G23" s="35"/>
      <c r="H23" s="35"/>
      <c r="I23" s="34"/>
    </row>
    <row r="24" spans="1:9" x14ac:dyDescent="0.55000000000000004">
      <c r="A24" s="6"/>
      <c r="B24" s="34"/>
      <c r="C24" s="34"/>
      <c r="D24" s="34"/>
      <c r="E24" s="54"/>
      <c r="F24" s="54"/>
      <c r="G24" s="35"/>
      <c r="H24" s="35"/>
      <c r="I24" s="34"/>
    </row>
    <row r="25" spans="1:9" x14ac:dyDescent="0.55000000000000004">
      <c r="A25" s="6"/>
      <c r="B25" s="34"/>
      <c r="C25" s="34"/>
      <c r="D25" s="34"/>
      <c r="E25" s="54"/>
      <c r="F25" s="54"/>
      <c r="G25" s="35"/>
      <c r="H25" s="35"/>
      <c r="I25" s="34"/>
    </row>
    <row r="26" spans="1:9" x14ac:dyDescent="0.55000000000000004">
      <c r="A26" s="6"/>
      <c r="B26" s="34"/>
      <c r="C26" s="34"/>
      <c r="D26" s="34"/>
      <c r="E26" s="54"/>
      <c r="F26" s="54"/>
      <c r="G26" s="35"/>
      <c r="H26" s="35"/>
      <c r="I26" s="34"/>
    </row>
    <row r="27" spans="1:9" x14ac:dyDescent="0.55000000000000004">
      <c r="A27" s="6"/>
      <c r="B27" s="34"/>
      <c r="C27" s="34"/>
      <c r="D27" s="34"/>
      <c r="E27" s="54"/>
      <c r="F27" s="54"/>
      <c r="G27" s="35"/>
      <c r="H27" s="35"/>
      <c r="I27" s="34"/>
    </row>
    <row r="28" spans="1:9" x14ac:dyDescent="0.55000000000000004">
      <c r="A28" s="6"/>
      <c r="B28" s="34"/>
      <c r="C28" s="34"/>
      <c r="D28" s="34"/>
      <c r="E28" s="54"/>
      <c r="F28" s="54"/>
      <c r="G28" s="35"/>
      <c r="H28" s="35"/>
      <c r="I28" s="34"/>
    </row>
    <row r="29" spans="1:9" x14ac:dyDescent="0.55000000000000004">
      <c r="A29" s="6"/>
      <c r="B29" s="34"/>
      <c r="C29" s="34"/>
      <c r="D29" s="34"/>
      <c r="E29" s="54"/>
      <c r="F29" s="54"/>
      <c r="G29" s="35"/>
      <c r="H29" s="35"/>
      <c r="I29" s="34"/>
    </row>
    <row r="30" spans="1:9" x14ac:dyDescent="0.55000000000000004">
      <c r="A30" s="6"/>
      <c r="B30" s="34"/>
      <c r="C30" s="34"/>
      <c r="D30" s="34"/>
      <c r="E30" s="54"/>
      <c r="F30" s="54"/>
      <c r="G30" s="35"/>
      <c r="H30" s="35"/>
      <c r="I30" s="34"/>
    </row>
    <row r="31" spans="1:9" x14ac:dyDescent="0.55000000000000004">
      <c r="A31" s="6"/>
      <c r="B31" s="34"/>
      <c r="C31" s="34"/>
      <c r="D31" s="34"/>
      <c r="E31" s="54"/>
      <c r="F31" s="54"/>
      <c r="G31" s="35"/>
      <c r="H31" s="35"/>
      <c r="I31" s="34"/>
    </row>
    <row r="32" spans="1:9" x14ac:dyDescent="0.55000000000000004">
      <c r="A32" s="6"/>
      <c r="B32" s="34"/>
      <c r="C32" s="34"/>
      <c r="D32" s="34"/>
      <c r="E32" s="54"/>
      <c r="F32" s="54"/>
      <c r="G32" s="35"/>
      <c r="H32" s="35"/>
      <c r="I32" s="34"/>
    </row>
    <row r="33" spans="1:9" x14ac:dyDescent="0.55000000000000004">
      <c r="A33" s="6"/>
      <c r="B33" s="34"/>
      <c r="C33" s="34"/>
      <c r="D33" s="34"/>
      <c r="E33" s="54"/>
      <c r="F33" s="54"/>
      <c r="G33" s="35"/>
      <c r="H33" s="35"/>
      <c r="I33" s="34"/>
    </row>
    <row r="34" spans="1:9" x14ac:dyDescent="0.55000000000000004">
      <c r="A34" s="6"/>
      <c r="B34" s="34"/>
      <c r="C34" s="34"/>
      <c r="D34" s="34"/>
      <c r="E34" s="54"/>
      <c r="F34" s="54"/>
      <c r="G34" s="35"/>
      <c r="H34" s="35"/>
      <c r="I34" s="34"/>
    </row>
    <row r="35" spans="1:9" x14ac:dyDescent="0.55000000000000004">
      <c r="A35" s="6"/>
      <c r="B35" s="34"/>
      <c r="C35" s="34"/>
      <c r="D35" s="34"/>
      <c r="E35" s="54"/>
      <c r="F35" s="54"/>
      <c r="G35" s="35"/>
      <c r="H35" s="35"/>
      <c r="I35" s="34"/>
    </row>
    <row r="36" spans="1:9" x14ac:dyDescent="0.55000000000000004">
      <c r="A36" s="6"/>
      <c r="B36" s="34"/>
      <c r="C36" s="34"/>
      <c r="D36" s="34"/>
      <c r="E36" s="54"/>
      <c r="F36" s="54"/>
      <c r="G36" s="35"/>
      <c r="H36" s="35"/>
      <c r="I36" s="34"/>
    </row>
    <row r="37" spans="1:9" x14ac:dyDescent="0.55000000000000004">
      <c r="A37" s="6"/>
      <c r="B37" s="34"/>
      <c r="C37" s="34"/>
      <c r="D37" s="34"/>
      <c r="E37" s="54"/>
      <c r="F37" s="54"/>
      <c r="G37" s="35"/>
      <c r="H37" s="35"/>
      <c r="I37" s="34"/>
    </row>
    <row r="38" spans="1:9" x14ac:dyDescent="0.55000000000000004">
      <c r="A38" s="6"/>
      <c r="B38" s="34"/>
      <c r="C38" s="34"/>
      <c r="D38" s="34"/>
      <c r="E38" s="54"/>
      <c r="F38" s="54"/>
      <c r="G38" s="35"/>
      <c r="H38" s="35"/>
      <c r="I38" s="34"/>
    </row>
    <row r="39" spans="1:9" x14ac:dyDescent="0.55000000000000004">
      <c r="A39" s="6"/>
      <c r="B39" s="34"/>
      <c r="C39" s="34"/>
      <c r="D39" s="34"/>
      <c r="E39" s="54"/>
      <c r="F39" s="54"/>
      <c r="G39" s="35"/>
      <c r="H39" s="35"/>
      <c r="I39" s="34"/>
    </row>
    <row r="40" spans="1:9" x14ac:dyDescent="0.55000000000000004">
      <c r="A40" s="6"/>
      <c r="B40" s="34"/>
      <c r="C40" s="34"/>
      <c r="D40" s="34"/>
      <c r="E40" s="54"/>
      <c r="F40" s="54"/>
      <c r="G40" s="35"/>
      <c r="H40" s="35"/>
      <c r="I40" s="34"/>
    </row>
    <row r="41" spans="1:9" x14ac:dyDescent="0.55000000000000004">
      <c r="A41" s="6"/>
      <c r="B41" s="34"/>
      <c r="C41" s="34"/>
      <c r="D41" s="34"/>
      <c r="E41" s="54"/>
      <c r="F41" s="54"/>
      <c r="G41" s="35"/>
      <c r="H41" s="35"/>
      <c r="I41" s="34"/>
    </row>
    <row r="42" spans="1:9" x14ac:dyDescent="0.55000000000000004">
      <c r="A42" s="6"/>
      <c r="B42" s="34"/>
      <c r="C42" s="34"/>
      <c r="D42" s="34"/>
      <c r="E42" s="54"/>
      <c r="F42" s="54"/>
      <c r="G42" s="35"/>
      <c r="H42" s="35"/>
      <c r="I42" s="34"/>
    </row>
    <row r="43" spans="1:9" x14ac:dyDescent="0.55000000000000004">
      <c r="A43" s="6"/>
      <c r="B43" s="34"/>
      <c r="C43" s="34"/>
      <c r="D43" s="34"/>
      <c r="E43" s="54"/>
      <c r="F43" s="54"/>
      <c r="G43" s="35"/>
      <c r="H43" s="35"/>
      <c r="I43" s="34"/>
    </row>
    <row r="44" spans="1:9" x14ac:dyDescent="0.55000000000000004">
      <c r="A44" s="6"/>
      <c r="B44" s="34"/>
      <c r="C44" s="34"/>
      <c r="D44" s="34"/>
      <c r="E44" s="54"/>
      <c r="F44" s="54"/>
      <c r="G44" s="35"/>
      <c r="H44" s="35"/>
      <c r="I44" s="34"/>
    </row>
    <row r="1048576" spans="7:7" x14ac:dyDescent="0.55000000000000004">
      <c r="G1048576" s="35"/>
    </row>
  </sheetData>
  <dataValidations count="2">
    <dataValidation type="list" showInputMessage="1" showErrorMessage="1" sqref="E4:H4 E6:H6 E8:H8 G10:H14 E10:F16 E17:H19 E20:F1048576">
      <formula1>N_A</formula1>
    </dataValidation>
    <dataValidation type="list" showInputMessage="1" showErrorMessage="1" sqref="D7:H7 B13:B14 B9:B11 D9:H9 B5 D5:H5 B7 C4:C44">
      <formula1>Polarity</formula1>
    </dataValidation>
  </dataValidations>
  <pageMargins left="0.7" right="0.7" top="0.75" bottom="0.75" header="0.3" footer="0.3"/>
  <pageSetup orientation="portrait"/>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4:D555"/>
  <sheetViews>
    <sheetView topLeftCell="A490" workbookViewId="0">
      <selection activeCell="B497" sqref="B497"/>
    </sheetView>
  </sheetViews>
  <sheetFormatPr defaultRowHeight="14.4" x14ac:dyDescent="0.55000000000000004"/>
  <cols>
    <col min="1" max="1" width="36.68359375" style="27" customWidth="1"/>
    <col min="2" max="2" width="39.26171875" style="27" customWidth="1"/>
    <col min="3" max="3" width="26.15625" style="27" customWidth="1"/>
  </cols>
  <sheetData>
    <row r="4" spans="1:4" ht="20.399999999999999" customHeight="1" x14ac:dyDescent="0.75">
      <c r="A4" s="10" t="s">
        <v>271</v>
      </c>
      <c r="B4" s="12"/>
      <c r="C4" s="12"/>
      <c r="D4" s="12" t="s">
        <v>84</v>
      </c>
    </row>
    <row r="5" spans="1:4" x14ac:dyDescent="0.55000000000000004">
      <c r="A5" s="9"/>
      <c r="B5" s="4" t="s">
        <v>272</v>
      </c>
      <c r="C5" s="31" t="s">
        <v>84</v>
      </c>
      <c r="D5" s="12"/>
    </row>
    <row r="6" spans="1:4" x14ac:dyDescent="0.55000000000000004">
      <c r="A6" s="9" t="s">
        <v>273</v>
      </c>
      <c r="B6" s="4" t="s">
        <v>177</v>
      </c>
      <c r="C6" s="31" t="s">
        <v>84</v>
      </c>
    </row>
    <row r="7" spans="1:4" x14ac:dyDescent="0.55000000000000004">
      <c r="A7" s="9" t="s">
        <v>274</v>
      </c>
      <c r="B7" s="4" t="s">
        <v>275</v>
      </c>
      <c r="C7" s="31" t="s">
        <v>84</v>
      </c>
    </row>
    <row r="8" spans="1:4" x14ac:dyDescent="0.55000000000000004">
      <c r="A8" s="9" t="s">
        <v>276</v>
      </c>
      <c r="B8" s="4" t="s">
        <v>277</v>
      </c>
      <c r="C8" s="31" t="s">
        <v>84</v>
      </c>
    </row>
    <row r="9" spans="1:4" x14ac:dyDescent="0.55000000000000004">
      <c r="A9" s="9" t="s">
        <v>278</v>
      </c>
      <c r="B9" s="4" t="s">
        <v>279</v>
      </c>
      <c r="C9" s="31" t="s">
        <v>84</v>
      </c>
    </row>
    <row r="10" spans="1:4" x14ac:dyDescent="0.55000000000000004">
      <c r="A10" s="9" t="s">
        <v>280</v>
      </c>
      <c r="B10" s="4" t="s">
        <v>281</v>
      </c>
      <c r="C10" s="31" t="s">
        <v>84</v>
      </c>
    </row>
    <row r="11" spans="1:4" x14ac:dyDescent="0.55000000000000004">
      <c r="A11" s="9" t="s">
        <v>282</v>
      </c>
      <c r="B11" s="4" t="s">
        <v>283</v>
      </c>
      <c r="C11" s="31" t="s">
        <v>84</v>
      </c>
    </row>
    <row r="12" spans="1:4" x14ac:dyDescent="0.55000000000000004">
      <c r="A12" s="9" t="s">
        <v>284</v>
      </c>
      <c r="B12" s="4" t="s">
        <v>285</v>
      </c>
      <c r="C12" s="31" t="s">
        <v>84</v>
      </c>
    </row>
    <row r="13" spans="1:4" x14ac:dyDescent="0.55000000000000004">
      <c r="A13" s="9" t="s">
        <v>286</v>
      </c>
      <c r="B13" s="4" t="s">
        <v>287</v>
      </c>
      <c r="C13" s="31" t="s">
        <v>84</v>
      </c>
    </row>
    <row r="14" spans="1:4" x14ac:dyDescent="0.55000000000000004">
      <c r="A14" s="9" t="s">
        <v>288</v>
      </c>
      <c r="B14" s="4" t="s">
        <v>289</v>
      </c>
      <c r="C14" s="31" t="s">
        <v>84</v>
      </c>
    </row>
    <row r="15" spans="1:4" x14ac:dyDescent="0.55000000000000004">
      <c r="A15" s="9" t="s">
        <v>290</v>
      </c>
      <c r="B15" s="4" t="s">
        <v>291</v>
      </c>
      <c r="C15" s="31" t="s">
        <v>84</v>
      </c>
    </row>
    <row r="16" spans="1:4" x14ac:dyDescent="0.55000000000000004">
      <c r="A16" s="9" t="s">
        <v>292</v>
      </c>
      <c r="B16" s="4" t="s">
        <v>83</v>
      </c>
      <c r="C16" s="31" t="s">
        <v>84</v>
      </c>
    </row>
    <row r="17" spans="1:3" x14ac:dyDescent="0.55000000000000004">
      <c r="A17" s="9" t="s">
        <v>293</v>
      </c>
      <c r="B17" s="4" t="s">
        <v>294</v>
      </c>
      <c r="C17" s="31" t="s">
        <v>84</v>
      </c>
    </row>
    <row r="18" spans="1:3" x14ac:dyDescent="0.55000000000000004">
      <c r="A18" s="9"/>
      <c r="B18" s="4"/>
      <c r="C18" s="31" t="s">
        <v>84</v>
      </c>
    </row>
    <row r="19" spans="1:3" x14ac:dyDescent="0.55000000000000004">
      <c r="A19" s="9" t="s">
        <v>295</v>
      </c>
      <c r="B19" s="4" t="s">
        <v>86</v>
      </c>
      <c r="C19" s="31" t="s">
        <v>84</v>
      </c>
    </row>
    <row r="20" spans="1:3" x14ac:dyDescent="0.55000000000000004">
      <c r="A20" s="9" t="s">
        <v>296</v>
      </c>
      <c r="B20" s="4" t="s">
        <v>297</v>
      </c>
      <c r="C20" s="31" t="s">
        <v>84</v>
      </c>
    </row>
    <row r="21" spans="1:3" x14ac:dyDescent="0.55000000000000004">
      <c r="A21" s="9" t="s">
        <v>298</v>
      </c>
      <c r="B21" s="4" t="s">
        <v>299</v>
      </c>
      <c r="C21" s="31" t="s">
        <v>84</v>
      </c>
    </row>
    <row r="22" spans="1:3" x14ac:dyDescent="0.55000000000000004">
      <c r="A22" s="9" t="s">
        <v>300</v>
      </c>
      <c r="B22" s="4" t="s">
        <v>301</v>
      </c>
      <c r="C22" s="31" t="s">
        <v>84</v>
      </c>
    </row>
    <row r="23" spans="1:3" x14ac:dyDescent="0.55000000000000004">
      <c r="A23" s="9" t="s">
        <v>302</v>
      </c>
      <c r="B23" s="4" t="s">
        <v>88</v>
      </c>
      <c r="C23" s="31" t="s">
        <v>84</v>
      </c>
    </row>
    <row r="24" spans="1:3" x14ac:dyDescent="0.55000000000000004">
      <c r="A24" s="9" t="s">
        <v>303</v>
      </c>
      <c r="B24" s="4" t="s">
        <v>304</v>
      </c>
      <c r="C24" s="31" t="s">
        <v>84</v>
      </c>
    </row>
    <row r="25" spans="1:3" x14ac:dyDescent="0.55000000000000004">
      <c r="A25" s="9" t="s">
        <v>305</v>
      </c>
      <c r="B25" s="4" t="s">
        <v>306</v>
      </c>
      <c r="C25" s="31" t="s">
        <v>84</v>
      </c>
    </row>
    <row r="26" spans="1:3" x14ac:dyDescent="0.55000000000000004">
      <c r="A26" s="9" t="s">
        <v>307</v>
      </c>
      <c r="B26" s="4" t="s">
        <v>308</v>
      </c>
      <c r="C26" s="31" t="s">
        <v>84</v>
      </c>
    </row>
    <row r="27" spans="1:3" x14ac:dyDescent="0.55000000000000004">
      <c r="A27" s="9" t="s">
        <v>309</v>
      </c>
      <c r="B27" s="4" t="s">
        <v>89</v>
      </c>
      <c r="C27" s="31" t="s">
        <v>84</v>
      </c>
    </row>
    <row r="28" spans="1:3" x14ac:dyDescent="0.55000000000000004">
      <c r="A28" s="9" t="s">
        <v>310</v>
      </c>
      <c r="B28" s="4" t="s">
        <v>311</v>
      </c>
      <c r="C28" s="31" t="s">
        <v>84</v>
      </c>
    </row>
    <row r="29" spans="1:3" x14ac:dyDescent="0.55000000000000004">
      <c r="A29" s="9" t="s">
        <v>312</v>
      </c>
      <c r="B29" s="4" t="s">
        <v>313</v>
      </c>
      <c r="C29" s="31" t="s">
        <v>84</v>
      </c>
    </row>
    <row r="30" spans="1:3" x14ac:dyDescent="0.55000000000000004">
      <c r="A30" s="9" t="s">
        <v>314</v>
      </c>
      <c r="B30" s="4" t="s">
        <v>315</v>
      </c>
      <c r="C30" s="31" t="s">
        <v>84</v>
      </c>
    </row>
    <row r="31" spans="1:3" x14ac:dyDescent="0.55000000000000004">
      <c r="A31" s="9" t="s">
        <v>316</v>
      </c>
      <c r="B31" s="4" t="s">
        <v>317</v>
      </c>
      <c r="C31" s="31" t="s">
        <v>84</v>
      </c>
    </row>
    <row r="32" spans="1:3" x14ac:dyDescent="0.55000000000000004">
      <c r="A32" s="9" t="s">
        <v>318</v>
      </c>
      <c r="B32" s="4" t="s">
        <v>319</v>
      </c>
      <c r="C32" s="31" t="s">
        <v>84</v>
      </c>
    </row>
    <row r="33" spans="1:3" x14ac:dyDescent="0.55000000000000004">
      <c r="A33" s="9" t="s">
        <v>320</v>
      </c>
      <c r="B33" s="4" t="s">
        <v>321</v>
      </c>
      <c r="C33" s="31" t="s">
        <v>84</v>
      </c>
    </row>
    <row r="34" spans="1:3" x14ac:dyDescent="0.55000000000000004">
      <c r="A34" s="9" t="s">
        <v>322</v>
      </c>
      <c r="B34" s="4" t="s">
        <v>323</v>
      </c>
      <c r="C34" s="31" t="s">
        <v>84</v>
      </c>
    </row>
    <row r="35" spans="1:3" x14ac:dyDescent="0.55000000000000004">
      <c r="A35" s="9"/>
      <c r="B35" s="4"/>
      <c r="C35" s="31" t="s">
        <v>84</v>
      </c>
    </row>
    <row r="36" spans="1:3" x14ac:dyDescent="0.55000000000000004">
      <c r="A36" s="9" t="s">
        <v>324</v>
      </c>
      <c r="B36" s="4" t="s">
        <v>325</v>
      </c>
      <c r="C36" s="31" t="s">
        <v>84</v>
      </c>
    </row>
    <row r="37" spans="1:3" x14ac:dyDescent="0.55000000000000004">
      <c r="A37" s="9" t="s">
        <v>326</v>
      </c>
      <c r="B37" s="4" t="s">
        <v>327</v>
      </c>
      <c r="C37" s="31" t="s">
        <v>84</v>
      </c>
    </row>
    <row r="38" spans="1:3" x14ac:dyDescent="0.55000000000000004">
      <c r="A38" s="9" t="s">
        <v>328</v>
      </c>
      <c r="B38" s="4" t="s">
        <v>329</v>
      </c>
      <c r="C38" s="31" t="s">
        <v>84</v>
      </c>
    </row>
    <row r="39" spans="1:3" x14ac:dyDescent="0.55000000000000004">
      <c r="A39" s="9" t="s">
        <v>330</v>
      </c>
      <c r="B39" s="4" t="s">
        <v>331</v>
      </c>
      <c r="C39" s="31" t="s">
        <v>84</v>
      </c>
    </row>
    <row r="40" spans="1:3" x14ac:dyDescent="0.55000000000000004">
      <c r="A40" s="9" t="s">
        <v>332</v>
      </c>
      <c r="B40" s="4" t="s">
        <v>333</v>
      </c>
      <c r="C40" s="31" t="s">
        <v>84</v>
      </c>
    </row>
    <row r="41" spans="1:3" x14ac:dyDescent="0.55000000000000004">
      <c r="A41" s="9" t="s">
        <v>334</v>
      </c>
      <c r="B41" s="4" t="s">
        <v>335</v>
      </c>
      <c r="C41" s="31" t="s">
        <v>84</v>
      </c>
    </row>
    <row r="42" spans="1:3" x14ac:dyDescent="0.55000000000000004">
      <c r="A42" s="9"/>
      <c r="B42" s="4"/>
      <c r="C42" s="31" t="s">
        <v>84</v>
      </c>
    </row>
    <row r="43" spans="1:3" x14ac:dyDescent="0.55000000000000004">
      <c r="A43" s="9" t="s">
        <v>336</v>
      </c>
      <c r="B43" s="4" t="s">
        <v>90</v>
      </c>
      <c r="C43" s="31" t="s">
        <v>84</v>
      </c>
    </row>
    <row r="44" spans="1:3" x14ac:dyDescent="0.55000000000000004">
      <c r="A44" s="9" t="s">
        <v>337</v>
      </c>
      <c r="B44" s="4" t="s">
        <v>338</v>
      </c>
      <c r="C44" s="31" t="s">
        <v>84</v>
      </c>
    </row>
    <row r="45" spans="1:3" x14ac:dyDescent="0.55000000000000004">
      <c r="A45" s="9" t="s">
        <v>339</v>
      </c>
      <c r="B45" s="4" t="s">
        <v>340</v>
      </c>
      <c r="C45" s="31" t="s">
        <v>84</v>
      </c>
    </row>
    <row r="46" spans="1:3" x14ac:dyDescent="0.55000000000000004">
      <c r="A46" s="9" t="s">
        <v>341</v>
      </c>
      <c r="B46" s="4" t="s">
        <v>342</v>
      </c>
      <c r="C46" s="31" t="s">
        <v>84</v>
      </c>
    </row>
    <row r="47" spans="1:3" x14ac:dyDescent="0.55000000000000004">
      <c r="A47" s="9" t="s">
        <v>343</v>
      </c>
      <c r="B47" s="4" t="s">
        <v>344</v>
      </c>
      <c r="C47" s="31" t="s">
        <v>84</v>
      </c>
    </row>
    <row r="48" spans="1:3" x14ac:dyDescent="0.55000000000000004">
      <c r="A48" s="9" t="s">
        <v>345</v>
      </c>
      <c r="B48" s="4" t="s">
        <v>346</v>
      </c>
      <c r="C48" s="31" t="s">
        <v>84</v>
      </c>
    </row>
    <row r="49" spans="1:4" x14ac:dyDescent="0.55000000000000004">
      <c r="A49" s="9" t="s">
        <v>347</v>
      </c>
      <c r="B49" s="4" t="s">
        <v>348</v>
      </c>
      <c r="C49" s="31" t="s">
        <v>84</v>
      </c>
    </row>
    <row r="50" spans="1:4" x14ac:dyDescent="0.55000000000000004">
      <c r="A50" s="9" t="s">
        <v>349</v>
      </c>
      <c r="B50" s="4" t="s">
        <v>350</v>
      </c>
      <c r="C50" s="31" t="s">
        <v>84</v>
      </c>
    </row>
    <row r="51" spans="1:4" x14ac:dyDescent="0.55000000000000004">
      <c r="A51" s="9" t="s">
        <v>351</v>
      </c>
      <c r="B51" s="4" t="s">
        <v>352</v>
      </c>
      <c r="C51" s="31" t="s">
        <v>84</v>
      </c>
    </row>
    <row r="52" spans="1:4" x14ac:dyDescent="0.55000000000000004">
      <c r="A52" s="9" t="s">
        <v>353</v>
      </c>
      <c r="B52" s="4" t="s">
        <v>354</v>
      </c>
      <c r="C52" s="31" t="s">
        <v>84</v>
      </c>
    </row>
    <row r="53" spans="1:4" x14ac:dyDescent="0.55000000000000004">
      <c r="A53" s="9"/>
      <c r="B53" s="4"/>
      <c r="C53" s="31" t="s">
        <v>84</v>
      </c>
    </row>
    <row r="54" spans="1:4" x14ac:dyDescent="0.55000000000000004">
      <c r="A54" s="9" t="s">
        <v>355</v>
      </c>
      <c r="B54" s="4" t="s">
        <v>92</v>
      </c>
      <c r="C54" s="31" t="s">
        <v>84</v>
      </c>
    </row>
    <row r="55" spans="1:4" x14ac:dyDescent="0.55000000000000004">
      <c r="A55" s="9" t="s">
        <v>356</v>
      </c>
      <c r="B55" s="4" t="s">
        <v>357</v>
      </c>
      <c r="C55" s="31" t="s">
        <v>84</v>
      </c>
    </row>
    <row r="56" spans="1:4" x14ac:dyDescent="0.55000000000000004">
      <c r="A56" s="9" t="s">
        <v>358</v>
      </c>
      <c r="B56" s="4" t="s">
        <v>359</v>
      </c>
      <c r="C56" s="31" t="s">
        <v>84</v>
      </c>
    </row>
    <row r="57" spans="1:4" x14ac:dyDescent="0.55000000000000004">
      <c r="A57" s="9"/>
      <c r="B57" s="4"/>
      <c r="C57" s="31" t="s">
        <v>84</v>
      </c>
    </row>
    <row r="58" spans="1:4" x14ac:dyDescent="0.55000000000000004">
      <c r="A58" s="9"/>
      <c r="B58" s="4"/>
      <c r="C58" s="31" t="s">
        <v>84</v>
      </c>
    </row>
    <row r="59" spans="1:4" x14ac:dyDescent="0.55000000000000004">
      <c r="A59" s="9"/>
      <c r="B59" s="4"/>
      <c r="C59" s="31" t="s">
        <v>84</v>
      </c>
    </row>
    <row r="60" spans="1:4" x14ac:dyDescent="0.55000000000000004">
      <c r="A60" s="9"/>
      <c r="B60" s="4"/>
      <c r="C60" s="31" t="s">
        <v>84</v>
      </c>
    </row>
    <row r="61" spans="1:4" ht="20.399999999999999" customHeight="1" x14ac:dyDescent="0.75">
      <c r="A61" s="10" t="s">
        <v>360</v>
      </c>
      <c r="B61" s="12"/>
      <c r="C61" s="12"/>
      <c r="D61" s="12" t="s">
        <v>94</v>
      </c>
    </row>
    <row r="62" spans="1:4" x14ac:dyDescent="0.55000000000000004">
      <c r="A62" s="9" t="s">
        <v>361</v>
      </c>
      <c r="B62" s="4" t="s">
        <v>93</v>
      </c>
      <c r="C62" s="31" t="s">
        <v>94</v>
      </c>
    </row>
    <row r="63" spans="1:4" x14ac:dyDescent="0.55000000000000004">
      <c r="A63" s="9" t="s">
        <v>362</v>
      </c>
      <c r="B63" s="4" t="s">
        <v>95</v>
      </c>
      <c r="C63" s="31" t="s">
        <v>94</v>
      </c>
    </row>
    <row r="64" spans="1:4" x14ac:dyDescent="0.55000000000000004">
      <c r="A64" s="9" t="s">
        <v>363</v>
      </c>
      <c r="B64" s="4" t="s">
        <v>96</v>
      </c>
      <c r="C64" s="31" t="s">
        <v>94</v>
      </c>
    </row>
    <row r="65" spans="1:3" x14ac:dyDescent="0.55000000000000004">
      <c r="A65" s="9" t="s">
        <v>364</v>
      </c>
      <c r="B65" s="4" t="s">
        <v>365</v>
      </c>
      <c r="C65" s="31" t="s">
        <v>94</v>
      </c>
    </row>
    <row r="66" spans="1:3" x14ac:dyDescent="0.55000000000000004">
      <c r="A66" s="9" t="s">
        <v>366</v>
      </c>
      <c r="B66" s="4" t="s">
        <v>97</v>
      </c>
      <c r="C66" s="31" t="s">
        <v>94</v>
      </c>
    </row>
    <row r="67" spans="1:3" x14ac:dyDescent="0.55000000000000004">
      <c r="A67" s="9" t="s">
        <v>367</v>
      </c>
      <c r="B67" s="4" t="s">
        <v>368</v>
      </c>
      <c r="C67" s="31" t="s">
        <v>94</v>
      </c>
    </row>
    <row r="68" spans="1:3" x14ac:dyDescent="0.55000000000000004">
      <c r="A68" s="9" t="s">
        <v>369</v>
      </c>
      <c r="B68" s="4" t="s">
        <v>370</v>
      </c>
      <c r="C68" s="31" t="s">
        <v>94</v>
      </c>
    </row>
    <row r="69" spans="1:3" x14ac:dyDescent="0.55000000000000004">
      <c r="A69" s="9" t="s">
        <v>371</v>
      </c>
      <c r="B69" s="4" t="s">
        <v>98</v>
      </c>
      <c r="C69" s="31" t="s">
        <v>94</v>
      </c>
    </row>
    <row r="70" spans="1:3" x14ac:dyDescent="0.55000000000000004">
      <c r="A70" s="9" t="s">
        <v>372</v>
      </c>
      <c r="B70" s="4" t="s">
        <v>373</v>
      </c>
      <c r="C70" s="31" t="s">
        <v>94</v>
      </c>
    </row>
    <row r="71" spans="1:3" x14ac:dyDescent="0.55000000000000004">
      <c r="A71" s="9" t="s">
        <v>374</v>
      </c>
      <c r="B71" s="14" t="s">
        <v>99</v>
      </c>
      <c r="C71" s="32" t="s">
        <v>94</v>
      </c>
    </row>
    <row r="72" spans="1:3" x14ac:dyDescent="0.55000000000000004">
      <c r="A72" s="9" t="s">
        <v>375</v>
      </c>
      <c r="B72" s="14" t="s">
        <v>100</v>
      </c>
      <c r="C72" s="32" t="s">
        <v>94</v>
      </c>
    </row>
    <row r="73" spans="1:3" x14ac:dyDescent="0.55000000000000004">
      <c r="A73" s="9" t="s">
        <v>376</v>
      </c>
      <c r="B73" s="14" t="s">
        <v>377</v>
      </c>
      <c r="C73" s="32" t="s">
        <v>94</v>
      </c>
    </row>
    <row r="74" spans="1:3" x14ac:dyDescent="0.55000000000000004">
      <c r="A74" s="9" t="s">
        <v>378</v>
      </c>
      <c r="B74" s="14" t="s">
        <v>379</v>
      </c>
      <c r="C74" s="32" t="s">
        <v>94</v>
      </c>
    </row>
    <row r="75" spans="1:3" x14ac:dyDescent="0.55000000000000004">
      <c r="A75" s="9" t="s">
        <v>380</v>
      </c>
      <c r="B75" s="14" t="s">
        <v>101</v>
      </c>
      <c r="C75" s="32" t="s">
        <v>94</v>
      </c>
    </row>
    <row r="76" spans="1:3" x14ac:dyDescent="0.55000000000000004">
      <c r="A76" s="9" t="s">
        <v>381</v>
      </c>
      <c r="B76" s="14" t="s">
        <v>382</v>
      </c>
      <c r="C76" s="32" t="s">
        <v>94</v>
      </c>
    </row>
    <row r="77" spans="1:3" x14ac:dyDescent="0.55000000000000004">
      <c r="A77" s="9" t="s">
        <v>383</v>
      </c>
      <c r="B77" s="14" t="s">
        <v>384</v>
      </c>
      <c r="C77" s="32" t="s">
        <v>94</v>
      </c>
    </row>
    <row r="78" spans="1:3" x14ac:dyDescent="0.55000000000000004">
      <c r="A78" s="9" t="s">
        <v>385</v>
      </c>
      <c r="B78" s="14" t="s">
        <v>386</v>
      </c>
      <c r="C78" s="32" t="s">
        <v>94</v>
      </c>
    </row>
    <row r="79" spans="1:3" x14ac:dyDescent="0.55000000000000004">
      <c r="A79" s="9" t="s">
        <v>387</v>
      </c>
      <c r="B79" s="14" t="s">
        <v>388</v>
      </c>
      <c r="C79" s="32" t="s">
        <v>94</v>
      </c>
    </row>
    <row r="80" spans="1:3" x14ac:dyDescent="0.55000000000000004">
      <c r="A80" s="9" t="s">
        <v>389</v>
      </c>
      <c r="B80" s="14" t="s">
        <v>390</v>
      </c>
      <c r="C80" s="32" t="s">
        <v>94</v>
      </c>
    </row>
    <row r="81" spans="1:3" x14ac:dyDescent="0.55000000000000004">
      <c r="A81" s="9"/>
      <c r="B81" s="14"/>
      <c r="C81" s="32" t="s">
        <v>94</v>
      </c>
    </row>
    <row r="82" spans="1:3" x14ac:dyDescent="0.55000000000000004">
      <c r="A82" s="9" t="s">
        <v>391</v>
      </c>
      <c r="B82" s="4" t="s">
        <v>392</v>
      </c>
      <c r="C82" s="31" t="s">
        <v>94</v>
      </c>
    </row>
    <row r="83" spans="1:3" x14ac:dyDescent="0.55000000000000004">
      <c r="A83" s="9" t="s">
        <v>393</v>
      </c>
      <c r="B83" s="4" t="s">
        <v>394</v>
      </c>
      <c r="C83" s="31" t="s">
        <v>94</v>
      </c>
    </row>
    <row r="84" spans="1:3" x14ac:dyDescent="0.55000000000000004">
      <c r="A84" s="9" t="s">
        <v>395</v>
      </c>
      <c r="B84" s="4" t="s">
        <v>396</v>
      </c>
      <c r="C84" s="31" t="s">
        <v>94</v>
      </c>
    </row>
    <row r="85" spans="1:3" x14ac:dyDescent="0.55000000000000004">
      <c r="A85" s="9" t="s">
        <v>397</v>
      </c>
      <c r="B85" s="4" t="s">
        <v>398</v>
      </c>
      <c r="C85" s="31" t="s">
        <v>94</v>
      </c>
    </row>
    <row r="86" spans="1:3" x14ac:dyDescent="0.55000000000000004">
      <c r="A86" s="9" t="s">
        <v>399</v>
      </c>
      <c r="B86" s="4" t="s">
        <v>400</v>
      </c>
      <c r="C86" s="31" t="s">
        <v>94</v>
      </c>
    </row>
    <row r="87" spans="1:3" x14ac:dyDescent="0.55000000000000004">
      <c r="A87" s="9" t="s">
        <v>401</v>
      </c>
      <c r="B87" s="4" t="s">
        <v>402</v>
      </c>
      <c r="C87" s="31" t="s">
        <v>94</v>
      </c>
    </row>
    <row r="88" spans="1:3" x14ac:dyDescent="0.55000000000000004">
      <c r="A88" s="9" t="s">
        <v>403</v>
      </c>
      <c r="B88" s="4" t="s">
        <v>404</v>
      </c>
      <c r="C88" s="31" t="s">
        <v>94</v>
      </c>
    </row>
    <row r="89" spans="1:3" x14ac:dyDescent="0.55000000000000004">
      <c r="A89" s="9" t="s">
        <v>405</v>
      </c>
      <c r="B89" s="4" t="s">
        <v>406</v>
      </c>
      <c r="C89" s="31" t="s">
        <v>94</v>
      </c>
    </row>
    <row r="90" spans="1:3" x14ac:dyDescent="0.55000000000000004">
      <c r="A90" s="9" t="s">
        <v>407</v>
      </c>
      <c r="B90" s="14" t="s">
        <v>408</v>
      </c>
      <c r="C90" s="32" t="s">
        <v>94</v>
      </c>
    </row>
    <row r="91" spans="1:3" x14ac:dyDescent="0.55000000000000004">
      <c r="A91" s="9" t="s">
        <v>409</v>
      </c>
      <c r="B91" s="14" t="s">
        <v>410</v>
      </c>
      <c r="C91" s="32" t="s">
        <v>94</v>
      </c>
    </row>
    <row r="92" spans="1:3" x14ac:dyDescent="0.55000000000000004">
      <c r="A92" s="9" t="s">
        <v>411</v>
      </c>
      <c r="B92" s="14" t="s">
        <v>412</v>
      </c>
      <c r="C92" s="32" t="s">
        <v>94</v>
      </c>
    </row>
    <row r="93" spans="1:3" x14ac:dyDescent="0.55000000000000004">
      <c r="A93" s="9" t="s">
        <v>413</v>
      </c>
      <c r="B93" s="14" t="s">
        <v>414</v>
      </c>
      <c r="C93" s="32" t="s">
        <v>94</v>
      </c>
    </row>
    <row r="94" spans="1:3" x14ac:dyDescent="0.55000000000000004">
      <c r="A94" s="9" t="s">
        <v>415</v>
      </c>
      <c r="B94" s="14" t="s">
        <v>416</v>
      </c>
      <c r="C94" s="32" t="s">
        <v>94</v>
      </c>
    </row>
    <row r="95" spans="1:3" x14ac:dyDescent="0.55000000000000004">
      <c r="A95" s="9" t="s">
        <v>417</v>
      </c>
      <c r="B95" s="14" t="s">
        <v>418</v>
      </c>
      <c r="C95" s="32" t="s">
        <v>94</v>
      </c>
    </row>
    <row r="96" spans="1:3" x14ac:dyDescent="0.55000000000000004">
      <c r="A96" s="9" t="s">
        <v>419</v>
      </c>
      <c r="B96" s="14" t="s">
        <v>420</v>
      </c>
      <c r="C96" s="32" t="s">
        <v>94</v>
      </c>
    </row>
    <row r="97" spans="1:4" x14ac:dyDescent="0.55000000000000004">
      <c r="A97" s="9" t="s">
        <v>421</v>
      </c>
      <c r="B97" s="14" t="s">
        <v>422</v>
      </c>
      <c r="C97" s="32" t="s">
        <v>94</v>
      </c>
    </row>
    <row r="98" spans="1:4" x14ac:dyDescent="0.55000000000000004">
      <c r="A98" s="9" t="s">
        <v>423</v>
      </c>
      <c r="B98" s="14" t="s">
        <v>424</v>
      </c>
      <c r="C98" s="32" t="s">
        <v>94</v>
      </c>
    </row>
    <row r="99" spans="1:4" x14ac:dyDescent="0.55000000000000004">
      <c r="A99" s="9" t="s">
        <v>425</v>
      </c>
      <c r="B99" s="14" t="s">
        <v>426</v>
      </c>
      <c r="C99" s="32" t="s">
        <v>94</v>
      </c>
    </row>
    <row r="100" spans="1:4" x14ac:dyDescent="0.55000000000000004">
      <c r="A100" s="9" t="s">
        <v>427</v>
      </c>
      <c r="B100" s="14" t="s">
        <v>428</v>
      </c>
      <c r="C100" s="32" t="s">
        <v>94</v>
      </c>
    </row>
    <row r="101" spans="1:4" x14ac:dyDescent="0.55000000000000004">
      <c r="A101" s="9" t="s">
        <v>429</v>
      </c>
      <c r="B101" s="14" t="s">
        <v>430</v>
      </c>
      <c r="C101" s="32" t="s">
        <v>94</v>
      </c>
    </row>
    <row r="102" spans="1:4" x14ac:dyDescent="0.55000000000000004">
      <c r="A102" s="9" t="s">
        <v>431</v>
      </c>
      <c r="B102" s="14" t="s">
        <v>432</v>
      </c>
      <c r="C102" s="32" t="s">
        <v>94</v>
      </c>
    </row>
    <row r="103" spans="1:4" x14ac:dyDescent="0.55000000000000004">
      <c r="A103" s="9" t="s">
        <v>433</v>
      </c>
      <c r="B103" s="14" t="s">
        <v>434</v>
      </c>
      <c r="C103" s="32" t="s">
        <v>94</v>
      </c>
    </row>
    <row r="104" spans="1:4" x14ac:dyDescent="0.55000000000000004">
      <c r="A104" s="9" t="s">
        <v>435</v>
      </c>
      <c r="B104" s="14" t="s">
        <v>436</v>
      </c>
      <c r="C104" s="32" t="s">
        <v>94</v>
      </c>
    </row>
    <row r="105" spans="1:4" x14ac:dyDescent="0.55000000000000004">
      <c r="A105" s="9" t="s">
        <v>437</v>
      </c>
      <c r="B105" s="14" t="s">
        <v>438</v>
      </c>
      <c r="C105" s="32" t="s">
        <v>94</v>
      </c>
    </row>
    <row r="106" spans="1:4" x14ac:dyDescent="0.55000000000000004">
      <c r="A106" s="9" t="s">
        <v>439</v>
      </c>
      <c r="B106" s="14" t="s">
        <v>440</v>
      </c>
      <c r="C106" s="32" t="s">
        <v>94</v>
      </c>
    </row>
    <row r="107" spans="1:4" x14ac:dyDescent="0.55000000000000004">
      <c r="A107" s="9" t="s">
        <v>441</v>
      </c>
      <c r="B107" s="14" t="s">
        <v>442</v>
      </c>
      <c r="C107" s="32" t="s">
        <v>94</v>
      </c>
    </row>
    <row r="108" spans="1:4" x14ac:dyDescent="0.55000000000000004">
      <c r="A108" s="9"/>
      <c r="B108" s="4"/>
      <c r="C108" s="31" t="s">
        <v>94</v>
      </c>
    </row>
    <row r="109" spans="1:4" ht="20.399999999999999" customHeight="1" x14ac:dyDescent="0.75">
      <c r="A109" s="10" t="s">
        <v>443</v>
      </c>
      <c r="B109" s="12"/>
      <c r="C109" s="12"/>
      <c r="D109" s="12" t="s">
        <v>103</v>
      </c>
    </row>
    <row r="110" spans="1:4" x14ac:dyDescent="0.55000000000000004">
      <c r="A110" s="9" t="s">
        <v>444</v>
      </c>
      <c r="B110" s="14" t="s">
        <v>445</v>
      </c>
      <c r="C110" s="32" t="s">
        <v>103</v>
      </c>
    </row>
    <row r="111" spans="1:4" x14ac:dyDescent="0.55000000000000004">
      <c r="A111" s="9" t="s">
        <v>446</v>
      </c>
      <c r="B111" s="14" t="s">
        <v>447</v>
      </c>
      <c r="C111" s="32" t="s">
        <v>103</v>
      </c>
    </row>
    <row r="112" spans="1:4" x14ac:dyDescent="0.55000000000000004">
      <c r="A112" s="9" t="s">
        <v>448</v>
      </c>
      <c r="B112" s="14" t="s">
        <v>449</v>
      </c>
      <c r="C112" s="32" t="s">
        <v>103</v>
      </c>
    </row>
    <row r="113" spans="1:3" x14ac:dyDescent="0.55000000000000004">
      <c r="A113" s="9" t="s">
        <v>450</v>
      </c>
      <c r="B113" s="14" t="s">
        <v>451</v>
      </c>
      <c r="C113" s="32" t="s">
        <v>103</v>
      </c>
    </row>
    <row r="114" spans="1:3" x14ac:dyDescent="0.55000000000000004">
      <c r="A114" s="9" t="s">
        <v>452</v>
      </c>
      <c r="B114" s="14" t="s">
        <v>453</v>
      </c>
      <c r="C114" s="32" t="s">
        <v>103</v>
      </c>
    </row>
    <row r="115" spans="1:3" x14ac:dyDescent="0.55000000000000004">
      <c r="A115" s="9" t="s">
        <v>454</v>
      </c>
      <c r="B115" s="14" t="s">
        <v>455</v>
      </c>
      <c r="C115" s="32" t="s">
        <v>103</v>
      </c>
    </row>
    <row r="116" spans="1:3" x14ac:dyDescent="0.55000000000000004">
      <c r="A116" s="9" t="s">
        <v>456</v>
      </c>
      <c r="B116" s="14" t="s">
        <v>457</v>
      </c>
      <c r="C116" s="32" t="s">
        <v>103</v>
      </c>
    </row>
    <row r="117" spans="1:3" x14ac:dyDescent="0.55000000000000004">
      <c r="A117" s="9" t="s">
        <v>458</v>
      </c>
      <c r="B117" s="14" t="s">
        <v>459</v>
      </c>
      <c r="C117" s="32" t="s">
        <v>103</v>
      </c>
    </row>
    <row r="118" spans="1:3" x14ac:dyDescent="0.55000000000000004">
      <c r="A118" s="9" t="s">
        <v>460</v>
      </c>
      <c r="B118" s="14" t="s">
        <v>461</v>
      </c>
      <c r="C118" s="32" t="s">
        <v>103</v>
      </c>
    </row>
    <row r="119" spans="1:3" x14ac:dyDescent="0.55000000000000004">
      <c r="A119" s="9" t="s">
        <v>462</v>
      </c>
      <c r="B119" s="14" t="s">
        <v>463</v>
      </c>
      <c r="C119" s="32" t="s">
        <v>103</v>
      </c>
    </row>
    <row r="120" spans="1:3" x14ac:dyDescent="0.55000000000000004">
      <c r="A120" s="9" t="s">
        <v>464</v>
      </c>
      <c r="B120" s="14" t="s">
        <v>102</v>
      </c>
      <c r="C120" s="32" t="s">
        <v>103</v>
      </c>
    </row>
    <row r="121" spans="1:3" x14ac:dyDescent="0.55000000000000004">
      <c r="A121" s="9" t="s">
        <v>465</v>
      </c>
      <c r="B121" s="14" t="s">
        <v>105</v>
      </c>
      <c r="C121" s="32" t="s">
        <v>103</v>
      </c>
    </row>
    <row r="122" spans="1:3" x14ac:dyDescent="0.55000000000000004">
      <c r="A122" s="9" t="s">
        <v>466</v>
      </c>
      <c r="B122" s="14" t="s">
        <v>467</v>
      </c>
      <c r="C122" s="32" t="s">
        <v>103</v>
      </c>
    </row>
    <row r="123" spans="1:3" x14ac:dyDescent="0.55000000000000004">
      <c r="A123" s="9" t="s">
        <v>468</v>
      </c>
      <c r="B123" s="14" t="s">
        <v>469</v>
      </c>
      <c r="C123" s="32" t="s">
        <v>103</v>
      </c>
    </row>
    <row r="124" spans="1:3" x14ac:dyDescent="0.55000000000000004">
      <c r="A124" s="9" t="s">
        <v>470</v>
      </c>
      <c r="B124" s="14" t="s">
        <v>106</v>
      </c>
      <c r="C124" s="32" t="s">
        <v>103</v>
      </c>
    </row>
    <row r="125" spans="1:3" x14ac:dyDescent="0.55000000000000004">
      <c r="A125" s="9" t="s">
        <v>471</v>
      </c>
      <c r="B125" s="14" t="s">
        <v>472</v>
      </c>
      <c r="C125" s="32" t="s">
        <v>103</v>
      </c>
    </row>
    <row r="126" spans="1:3" x14ac:dyDescent="0.55000000000000004">
      <c r="A126" s="9" t="s">
        <v>473</v>
      </c>
      <c r="B126" s="14" t="s">
        <v>474</v>
      </c>
      <c r="C126" s="32" t="s">
        <v>103</v>
      </c>
    </row>
    <row r="127" spans="1:3" x14ac:dyDescent="0.55000000000000004">
      <c r="A127" s="9" t="s">
        <v>475</v>
      </c>
      <c r="B127" s="14" t="s">
        <v>476</v>
      </c>
      <c r="C127" s="32" t="s">
        <v>103</v>
      </c>
    </row>
    <row r="128" spans="1:3" x14ac:dyDescent="0.55000000000000004">
      <c r="A128" s="9" t="s">
        <v>477</v>
      </c>
      <c r="B128" s="14" t="s">
        <v>478</v>
      </c>
      <c r="C128" s="32" t="s">
        <v>103</v>
      </c>
    </row>
    <row r="129" spans="1:3" x14ac:dyDescent="0.55000000000000004">
      <c r="A129" s="9" t="s">
        <v>479</v>
      </c>
      <c r="B129" s="14" t="s">
        <v>480</v>
      </c>
      <c r="C129" s="32" t="s">
        <v>103</v>
      </c>
    </row>
    <row r="130" spans="1:3" x14ac:dyDescent="0.55000000000000004">
      <c r="A130" s="9" t="s">
        <v>481</v>
      </c>
      <c r="B130" s="14" t="s">
        <v>482</v>
      </c>
      <c r="C130" s="32" t="s">
        <v>103</v>
      </c>
    </row>
    <row r="131" spans="1:3" x14ac:dyDescent="0.55000000000000004">
      <c r="A131" s="9" t="s">
        <v>483</v>
      </c>
      <c r="B131" s="14" t="s">
        <v>484</v>
      </c>
      <c r="C131" s="32" t="s">
        <v>103</v>
      </c>
    </row>
    <row r="132" spans="1:3" x14ac:dyDescent="0.55000000000000004">
      <c r="A132" s="9" t="s">
        <v>485</v>
      </c>
      <c r="B132" s="14" t="s">
        <v>486</v>
      </c>
      <c r="C132" s="32" t="s">
        <v>103</v>
      </c>
    </row>
    <row r="133" spans="1:3" x14ac:dyDescent="0.55000000000000004">
      <c r="A133" s="9" t="s">
        <v>487</v>
      </c>
      <c r="B133" s="14" t="s">
        <v>488</v>
      </c>
      <c r="C133" s="32" t="s">
        <v>103</v>
      </c>
    </row>
    <row r="134" spans="1:3" x14ac:dyDescent="0.55000000000000004">
      <c r="A134" s="9" t="s">
        <v>489</v>
      </c>
      <c r="B134" s="14" t="s">
        <v>490</v>
      </c>
      <c r="C134" s="32" t="s">
        <v>103</v>
      </c>
    </row>
    <row r="135" spans="1:3" x14ac:dyDescent="0.55000000000000004">
      <c r="A135" s="9" t="s">
        <v>491</v>
      </c>
      <c r="B135" s="14" t="s">
        <v>492</v>
      </c>
      <c r="C135" s="32" t="s">
        <v>103</v>
      </c>
    </row>
    <row r="136" spans="1:3" x14ac:dyDescent="0.55000000000000004">
      <c r="A136" s="9" t="s">
        <v>493</v>
      </c>
      <c r="B136" s="14" t="s">
        <v>494</v>
      </c>
      <c r="C136" s="32" t="s">
        <v>103</v>
      </c>
    </row>
    <row r="137" spans="1:3" x14ac:dyDescent="0.55000000000000004">
      <c r="A137" s="9" t="s">
        <v>495</v>
      </c>
      <c r="B137" s="14" t="s">
        <v>496</v>
      </c>
      <c r="C137" s="32" t="s">
        <v>103</v>
      </c>
    </row>
    <row r="138" spans="1:3" x14ac:dyDescent="0.55000000000000004">
      <c r="A138" s="9" t="s">
        <v>497</v>
      </c>
      <c r="B138" s="14" t="s">
        <v>498</v>
      </c>
      <c r="C138" s="32" t="s">
        <v>103</v>
      </c>
    </row>
    <row r="139" spans="1:3" x14ac:dyDescent="0.55000000000000004">
      <c r="A139" s="9" t="s">
        <v>499</v>
      </c>
      <c r="B139" s="14" t="s">
        <v>500</v>
      </c>
      <c r="C139" s="32" t="s">
        <v>103</v>
      </c>
    </row>
    <row r="140" spans="1:3" x14ac:dyDescent="0.55000000000000004">
      <c r="A140" s="9" t="s">
        <v>501</v>
      </c>
      <c r="B140" s="14" t="s">
        <v>502</v>
      </c>
      <c r="C140" s="32" t="s">
        <v>103</v>
      </c>
    </row>
    <row r="141" spans="1:3" x14ac:dyDescent="0.55000000000000004">
      <c r="A141" s="9" t="s">
        <v>503</v>
      </c>
      <c r="B141" s="14" t="s">
        <v>504</v>
      </c>
      <c r="C141" s="32" t="s">
        <v>103</v>
      </c>
    </row>
    <row r="142" spans="1:3" x14ac:dyDescent="0.55000000000000004">
      <c r="A142" s="9" t="s">
        <v>505</v>
      </c>
      <c r="B142" s="14" t="s">
        <v>506</v>
      </c>
      <c r="C142" s="32" t="s">
        <v>103</v>
      </c>
    </row>
    <row r="143" spans="1:3" x14ac:dyDescent="0.55000000000000004">
      <c r="A143" s="9" t="s">
        <v>507</v>
      </c>
      <c r="B143" s="14" t="s">
        <v>508</v>
      </c>
      <c r="C143" s="32" t="s">
        <v>103</v>
      </c>
    </row>
    <row r="144" spans="1:3" x14ac:dyDescent="0.55000000000000004">
      <c r="A144" s="9" t="s">
        <v>509</v>
      </c>
      <c r="B144" s="14" t="s">
        <v>510</v>
      </c>
      <c r="C144" s="32" t="s">
        <v>103</v>
      </c>
    </row>
    <row r="145" spans="1:3" x14ac:dyDescent="0.55000000000000004">
      <c r="A145" s="9" t="s">
        <v>511</v>
      </c>
      <c r="B145" s="14" t="s">
        <v>512</v>
      </c>
      <c r="C145" s="32" t="s">
        <v>103</v>
      </c>
    </row>
    <row r="146" spans="1:3" x14ac:dyDescent="0.55000000000000004">
      <c r="A146" s="9" t="s">
        <v>513</v>
      </c>
      <c r="B146" s="14" t="s">
        <v>514</v>
      </c>
      <c r="C146" s="32" t="s">
        <v>103</v>
      </c>
    </row>
    <row r="147" spans="1:3" x14ac:dyDescent="0.55000000000000004">
      <c r="A147" s="9"/>
      <c r="B147" s="14"/>
      <c r="C147" s="32" t="s">
        <v>103</v>
      </c>
    </row>
    <row r="148" spans="1:3" x14ac:dyDescent="0.55000000000000004">
      <c r="A148" s="9" t="s">
        <v>515</v>
      </c>
      <c r="B148" s="14" t="s">
        <v>107</v>
      </c>
      <c r="C148" s="32" t="s">
        <v>103</v>
      </c>
    </row>
    <row r="149" spans="1:3" x14ac:dyDescent="0.55000000000000004">
      <c r="A149" s="9" t="s">
        <v>516</v>
      </c>
      <c r="B149" s="14" t="s">
        <v>517</v>
      </c>
      <c r="C149" s="32" t="s">
        <v>103</v>
      </c>
    </row>
    <row r="150" spans="1:3" x14ac:dyDescent="0.55000000000000004">
      <c r="A150" s="9"/>
      <c r="B150" s="14"/>
      <c r="C150" s="32" t="s">
        <v>103</v>
      </c>
    </row>
    <row r="151" spans="1:3" x14ac:dyDescent="0.55000000000000004">
      <c r="A151" s="9" t="s">
        <v>518</v>
      </c>
      <c r="B151" s="14" t="s">
        <v>519</v>
      </c>
      <c r="C151" s="32" t="s">
        <v>103</v>
      </c>
    </row>
    <row r="152" spans="1:3" x14ac:dyDescent="0.55000000000000004">
      <c r="A152" s="9" t="s">
        <v>520</v>
      </c>
      <c r="B152" s="14" t="s">
        <v>521</v>
      </c>
      <c r="C152" s="32" t="s">
        <v>103</v>
      </c>
    </row>
    <row r="153" spans="1:3" x14ac:dyDescent="0.55000000000000004">
      <c r="A153" s="9" t="s">
        <v>522</v>
      </c>
      <c r="B153" s="14" t="s">
        <v>523</v>
      </c>
      <c r="C153" s="32" t="s">
        <v>103</v>
      </c>
    </row>
    <row r="154" spans="1:3" x14ac:dyDescent="0.55000000000000004">
      <c r="A154" s="9"/>
      <c r="B154" s="14"/>
      <c r="C154" s="32" t="s">
        <v>103</v>
      </c>
    </row>
    <row r="155" spans="1:3" x14ac:dyDescent="0.55000000000000004">
      <c r="A155" s="9"/>
      <c r="B155" s="14"/>
      <c r="C155" s="32" t="s">
        <v>103</v>
      </c>
    </row>
    <row r="156" spans="1:3" x14ac:dyDescent="0.55000000000000004">
      <c r="A156" s="9" t="s">
        <v>524</v>
      </c>
      <c r="B156" s="14" t="s">
        <v>525</v>
      </c>
      <c r="C156" s="32" t="s">
        <v>103</v>
      </c>
    </row>
    <row r="157" spans="1:3" x14ac:dyDescent="0.55000000000000004">
      <c r="A157" s="9" t="s">
        <v>526</v>
      </c>
      <c r="B157" s="14" t="s">
        <v>527</v>
      </c>
      <c r="C157" s="32" t="s">
        <v>103</v>
      </c>
    </row>
    <row r="158" spans="1:3" x14ac:dyDescent="0.55000000000000004">
      <c r="A158" s="9" t="s">
        <v>528</v>
      </c>
      <c r="B158" s="14" t="s">
        <v>529</v>
      </c>
      <c r="C158" s="32" t="s">
        <v>103</v>
      </c>
    </row>
    <row r="159" spans="1:3" x14ac:dyDescent="0.55000000000000004">
      <c r="A159" s="9" t="s">
        <v>530</v>
      </c>
      <c r="B159" s="14" t="s">
        <v>531</v>
      </c>
      <c r="C159" s="32" t="s">
        <v>103</v>
      </c>
    </row>
    <row r="160" spans="1:3" x14ac:dyDescent="0.55000000000000004">
      <c r="A160" s="9" t="s">
        <v>532</v>
      </c>
      <c r="B160" s="14" t="s">
        <v>533</v>
      </c>
      <c r="C160" s="32" t="s">
        <v>103</v>
      </c>
    </row>
    <row r="161" spans="1:3" x14ac:dyDescent="0.55000000000000004">
      <c r="A161" s="9"/>
      <c r="B161" s="14"/>
      <c r="C161" s="32" t="s">
        <v>103</v>
      </c>
    </row>
    <row r="162" spans="1:3" x14ac:dyDescent="0.55000000000000004">
      <c r="A162" s="9" t="s">
        <v>534</v>
      </c>
      <c r="B162" s="14" t="s">
        <v>108</v>
      </c>
      <c r="C162" s="32" t="s">
        <v>103</v>
      </c>
    </row>
    <row r="163" spans="1:3" x14ac:dyDescent="0.55000000000000004">
      <c r="A163" s="9" t="s">
        <v>535</v>
      </c>
      <c r="B163" s="14" t="s">
        <v>109</v>
      </c>
      <c r="C163" s="32" t="s">
        <v>103</v>
      </c>
    </row>
    <row r="164" spans="1:3" x14ac:dyDescent="0.55000000000000004">
      <c r="A164" s="9" t="s">
        <v>536</v>
      </c>
      <c r="B164" s="14" t="s">
        <v>110</v>
      </c>
      <c r="C164" s="32" t="s">
        <v>103</v>
      </c>
    </row>
    <row r="165" spans="1:3" x14ac:dyDescent="0.55000000000000004">
      <c r="A165" s="9" t="s">
        <v>537</v>
      </c>
      <c r="B165" s="14" t="s">
        <v>538</v>
      </c>
      <c r="C165" s="32" t="s">
        <v>103</v>
      </c>
    </row>
    <row r="166" spans="1:3" x14ac:dyDescent="0.55000000000000004">
      <c r="A166" s="9" t="s">
        <v>539</v>
      </c>
      <c r="B166" s="14" t="s">
        <v>111</v>
      </c>
      <c r="C166" s="32" t="s">
        <v>103</v>
      </c>
    </row>
    <row r="167" spans="1:3" x14ac:dyDescent="0.55000000000000004">
      <c r="A167" s="9"/>
      <c r="B167" s="14"/>
      <c r="C167" s="32" t="s">
        <v>103</v>
      </c>
    </row>
    <row r="168" spans="1:3" x14ac:dyDescent="0.55000000000000004">
      <c r="A168" s="9" t="s">
        <v>540</v>
      </c>
      <c r="B168" s="14" t="s">
        <v>112</v>
      </c>
      <c r="C168" s="32" t="s">
        <v>103</v>
      </c>
    </row>
    <row r="169" spans="1:3" x14ac:dyDescent="0.55000000000000004">
      <c r="A169" s="9" t="s">
        <v>541</v>
      </c>
      <c r="B169" s="14" t="s">
        <v>542</v>
      </c>
      <c r="C169" s="32" t="s">
        <v>103</v>
      </c>
    </row>
    <row r="170" spans="1:3" x14ac:dyDescent="0.55000000000000004">
      <c r="A170" s="9" t="s">
        <v>543</v>
      </c>
      <c r="B170" s="14" t="s">
        <v>544</v>
      </c>
      <c r="C170" s="32" t="s">
        <v>103</v>
      </c>
    </row>
    <row r="171" spans="1:3" x14ac:dyDescent="0.55000000000000004">
      <c r="A171" s="9" t="s">
        <v>545</v>
      </c>
      <c r="B171" s="14" t="s">
        <v>546</v>
      </c>
      <c r="C171" s="32" t="s">
        <v>103</v>
      </c>
    </row>
    <row r="172" spans="1:3" x14ac:dyDescent="0.55000000000000004">
      <c r="A172" s="9" t="s">
        <v>547</v>
      </c>
      <c r="B172" s="14" t="s">
        <v>548</v>
      </c>
      <c r="C172" s="32" t="s">
        <v>103</v>
      </c>
    </row>
    <row r="173" spans="1:3" x14ac:dyDescent="0.55000000000000004">
      <c r="A173" s="9" t="s">
        <v>549</v>
      </c>
      <c r="B173" s="14" t="s">
        <v>550</v>
      </c>
      <c r="C173" s="32" t="s">
        <v>103</v>
      </c>
    </row>
    <row r="174" spans="1:3" x14ac:dyDescent="0.55000000000000004">
      <c r="A174" s="9" t="s">
        <v>551</v>
      </c>
      <c r="B174" s="14" t="s">
        <v>552</v>
      </c>
      <c r="C174" s="32" t="s">
        <v>103</v>
      </c>
    </row>
    <row r="175" spans="1:3" x14ac:dyDescent="0.55000000000000004">
      <c r="A175" s="9" t="s">
        <v>553</v>
      </c>
      <c r="B175" s="14" t="s">
        <v>554</v>
      </c>
      <c r="C175" s="32" t="s">
        <v>103</v>
      </c>
    </row>
    <row r="176" spans="1:3" x14ac:dyDescent="0.55000000000000004">
      <c r="A176" s="9" t="s">
        <v>555</v>
      </c>
      <c r="B176" s="14" t="s">
        <v>556</v>
      </c>
      <c r="C176" s="32" t="s">
        <v>103</v>
      </c>
    </row>
    <row r="177" spans="1:3" x14ac:dyDescent="0.55000000000000004">
      <c r="A177" s="9" t="s">
        <v>557</v>
      </c>
      <c r="B177" s="14" t="s">
        <v>558</v>
      </c>
      <c r="C177" s="32" t="s">
        <v>103</v>
      </c>
    </row>
    <row r="178" spans="1:3" x14ac:dyDescent="0.55000000000000004">
      <c r="A178" s="9" t="s">
        <v>559</v>
      </c>
      <c r="B178" s="14" t="s">
        <v>560</v>
      </c>
      <c r="C178" s="32" t="s">
        <v>103</v>
      </c>
    </row>
    <row r="179" spans="1:3" x14ac:dyDescent="0.55000000000000004">
      <c r="A179" s="9" t="s">
        <v>561</v>
      </c>
      <c r="B179" s="14" t="s">
        <v>562</v>
      </c>
      <c r="C179" s="32" t="s">
        <v>103</v>
      </c>
    </row>
    <row r="180" spans="1:3" x14ac:dyDescent="0.55000000000000004">
      <c r="A180" s="9" t="s">
        <v>563</v>
      </c>
      <c r="B180" s="14" t="s">
        <v>564</v>
      </c>
      <c r="C180" s="32" t="s">
        <v>103</v>
      </c>
    </row>
    <row r="181" spans="1:3" x14ac:dyDescent="0.55000000000000004">
      <c r="A181" s="9" t="s">
        <v>565</v>
      </c>
      <c r="B181" s="14" t="s">
        <v>566</v>
      </c>
      <c r="C181" s="32" t="s">
        <v>103</v>
      </c>
    </row>
    <row r="182" spans="1:3" x14ac:dyDescent="0.55000000000000004">
      <c r="A182" s="9" t="s">
        <v>567</v>
      </c>
      <c r="B182" s="14" t="s">
        <v>568</v>
      </c>
      <c r="C182" s="32" t="s">
        <v>103</v>
      </c>
    </row>
    <row r="183" spans="1:3" x14ac:dyDescent="0.55000000000000004">
      <c r="A183" s="9" t="s">
        <v>569</v>
      </c>
      <c r="B183" s="14" t="s">
        <v>570</v>
      </c>
      <c r="C183" s="32" t="s">
        <v>103</v>
      </c>
    </row>
    <row r="184" spans="1:3" x14ac:dyDescent="0.55000000000000004">
      <c r="A184" s="9"/>
      <c r="B184" s="14"/>
      <c r="C184" s="32" t="s">
        <v>103</v>
      </c>
    </row>
    <row r="185" spans="1:3" x14ac:dyDescent="0.55000000000000004">
      <c r="A185" s="9" t="s">
        <v>571</v>
      </c>
      <c r="B185" s="14" t="s">
        <v>572</v>
      </c>
      <c r="C185" s="32" t="s">
        <v>103</v>
      </c>
    </row>
    <row r="186" spans="1:3" x14ac:dyDescent="0.55000000000000004">
      <c r="A186" s="9" t="s">
        <v>573</v>
      </c>
      <c r="B186" s="14" t="s">
        <v>113</v>
      </c>
      <c r="C186" s="32" t="s">
        <v>103</v>
      </c>
    </row>
    <row r="187" spans="1:3" x14ac:dyDescent="0.55000000000000004">
      <c r="A187" s="9"/>
      <c r="B187" s="14"/>
      <c r="C187" s="32" t="s">
        <v>103</v>
      </c>
    </row>
    <row r="188" spans="1:3" x14ac:dyDescent="0.55000000000000004">
      <c r="A188" s="9" t="s">
        <v>574</v>
      </c>
      <c r="B188" s="14" t="s">
        <v>114</v>
      </c>
      <c r="C188" s="32" t="s">
        <v>103</v>
      </c>
    </row>
    <row r="189" spans="1:3" x14ac:dyDescent="0.55000000000000004">
      <c r="A189" s="9" t="s">
        <v>575</v>
      </c>
      <c r="B189" s="14" t="s">
        <v>576</v>
      </c>
      <c r="C189" s="32" t="s">
        <v>103</v>
      </c>
    </row>
    <row r="190" spans="1:3" x14ac:dyDescent="0.55000000000000004">
      <c r="A190" s="9"/>
      <c r="B190" s="14"/>
      <c r="C190" s="32" t="s">
        <v>103</v>
      </c>
    </row>
    <row r="191" spans="1:3" x14ac:dyDescent="0.55000000000000004">
      <c r="A191" s="9"/>
      <c r="B191" s="14"/>
      <c r="C191" s="32" t="s">
        <v>103</v>
      </c>
    </row>
    <row r="192" spans="1:3" x14ac:dyDescent="0.55000000000000004">
      <c r="A192" s="9"/>
      <c r="B192" s="14"/>
      <c r="C192" s="32" t="s">
        <v>103</v>
      </c>
    </row>
    <row r="193" spans="1:4" x14ac:dyDescent="0.55000000000000004">
      <c r="A193" s="9"/>
      <c r="B193" s="14"/>
      <c r="C193" s="32" t="s">
        <v>103</v>
      </c>
    </row>
    <row r="194" spans="1:4" x14ac:dyDescent="0.55000000000000004">
      <c r="A194" s="9"/>
      <c r="B194" s="14"/>
      <c r="C194" s="32" t="s">
        <v>103</v>
      </c>
    </row>
    <row r="195" spans="1:4" ht="20.399999999999999" customHeight="1" x14ac:dyDescent="0.75">
      <c r="A195" s="10" t="s">
        <v>577</v>
      </c>
      <c r="B195" s="12"/>
      <c r="C195" s="12"/>
      <c r="D195" s="12" t="s">
        <v>116</v>
      </c>
    </row>
    <row r="196" spans="1:4" x14ac:dyDescent="0.55000000000000004">
      <c r="A196" s="9" t="s">
        <v>578</v>
      </c>
      <c r="B196" s="14" t="s">
        <v>115</v>
      </c>
      <c r="C196" s="32" t="s">
        <v>116</v>
      </c>
    </row>
    <row r="197" spans="1:4" x14ac:dyDescent="0.55000000000000004">
      <c r="A197" s="9" t="s">
        <v>579</v>
      </c>
      <c r="B197" s="14" t="s">
        <v>580</v>
      </c>
      <c r="C197" s="32" t="s">
        <v>116</v>
      </c>
    </row>
    <row r="198" spans="1:4" x14ac:dyDescent="0.55000000000000004">
      <c r="A198" s="9" t="s">
        <v>581</v>
      </c>
      <c r="B198" s="14" t="s">
        <v>117</v>
      </c>
      <c r="C198" s="32" t="s">
        <v>116</v>
      </c>
    </row>
    <row r="199" spans="1:4" x14ac:dyDescent="0.55000000000000004">
      <c r="A199" s="9" t="s">
        <v>582</v>
      </c>
      <c r="B199" s="14" t="s">
        <v>118</v>
      </c>
      <c r="C199" s="32" t="s">
        <v>116</v>
      </c>
    </row>
    <row r="200" spans="1:4" x14ac:dyDescent="0.55000000000000004">
      <c r="A200" s="9" t="s">
        <v>583</v>
      </c>
      <c r="B200" s="14" t="s">
        <v>119</v>
      </c>
      <c r="C200" s="32" t="s">
        <v>116</v>
      </c>
    </row>
    <row r="201" spans="1:4" x14ac:dyDescent="0.55000000000000004">
      <c r="A201" s="9" t="s">
        <v>584</v>
      </c>
      <c r="B201" s="14" t="s">
        <v>120</v>
      </c>
      <c r="C201" s="32" t="s">
        <v>116</v>
      </c>
    </row>
    <row r="202" spans="1:4" x14ac:dyDescent="0.55000000000000004">
      <c r="A202" s="9" t="s">
        <v>585</v>
      </c>
      <c r="B202" s="14" t="s">
        <v>586</v>
      </c>
      <c r="C202" s="32" t="s">
        <v>116</v>
      </c>
    </row>
    <row r="203" spans="1:4" x14ac:dyDescent="0.55000000000000004">
      <c r="A203" s="9" t="s">
        <v>587</v>
      </c>
      <c r="B203" s="14" t="s">
        <v>588</v>
      </c>
      <c r="C203" s="32" t="s">
        <v>116</v>
      </c>
    </row>
    <row r="204" spans="1:4" x14ac:dyDescent="0.55000000000000004">
      <c r="A204" s="9" t="s">
        <v>589</v>
      </c>
      <c r="B204" s="14" t="s">
        <v>121</v>
      </c>
      <c r="C204" s="32" t="s">
        <v>116</v>
      </c>
    </row>
    <row r="205" spans="1:4" x14ac:dyDescent="0.55000000000000004">
      <c r="A205" s="9" t="s">
        <v>590</v>
      </c>
      <c r="B205" s="14" t="s">
        <v>591</v>
      </c>
      <c r="C205" s="32" t="s">
        <v>116</v>
      </c>
    </row>
    <row r="206" spans="1:4" x14ac:dyDescent="0.55000000000000004">
      <c r="A206" s="9" t="s">
        <v>592</v>
      </c>
      <c r="B206" s="14" t="s">
        <v>122</v>
      </c>
      <c r="C206" s="32" t="s">
        <v>116</v>
      </c>
    </row>
    <row r="207" spans="1:4" x14ac:dyDescent="0.55000000000000004">
      <c r="A207" s="9"/>
      <c r="B207" s="14"/>
      <c r="C207" s="32" t="s">
        <v>116</v>
      </c>
    </row>
    <row r="208" spans="1:4" x14ac:dyDescent="0.55000000000000004">
      <c r="A208" s="9" t="s">
        <v>593</v>
      </c>
      <c r="B208" s="14" t="s">
        <v>123</v>
      </c>
      <c r="C208" s="32" t="s">
        <v>116</v>
      </c>
    </row>
    <row r="209" spans="1:3" x14ac:dyDescent="0.55000000000000004">
      <c r="A209" s="9" t="s">
        <v>594</v>
      </c>
      <c r="B209" s="14" t="s">
        <v>595</v>
      </c>
      <c r="C209" s="32" t="s">
        <v>116</v>
      </c>
    </row>
    <row r="210" spans="1:3" x14ac:dyDescent="0.55000000000000004">
      <c r="A210" s="9" t="s">
        <v>596</v>
      </c>
      <c r="B210" s="14" t="s">
        <v>597</v>
      </c>
      <c r="C210" s="32" t="s">
        <v>116</v>
      </c>
    </row>
    <row r="211" spans="1:3" x14ac:dyDescent="0.55000000000000004">
      <c r="A211" s="9" t="s">
        <v>598</v>
      </c>
      <c r="B211" s="14" t="s">
        <v>599</v>
      </c>
      <c r="C211" s="32" t="s">
        <v>116</v>
      </c>
    </row>
    <row r="212" spans="1:3" x14ac:dyDescent="0.55000000000000004">
      <c r="A212" s="9"/>
      <c r="B212" s="14"/>
      <c r="C212" s="32" t="s">
        <v>116</v>
      </c>
    </row>
    <row r="213" spans="1:3" x14ac:dyDescent="0.55000000000000004">
      <c r="A213" s="9" t="s">
        <v>600</v>
      </c>
      <c r="B213" s="14" t="s">
        <v>601</v>
      </c>
      <c r="C213" s="32" t="s">
        <v>116</v>
      </c>
    </row>
    <row r="214" spans="1:3" x14ac:dyDescent="0.55000000000000004">
      <c r="A214" s="9" t="s">
        <v>602</v>
      </c>
      <c r="B214" s="14" t="s">
        <v>603</v>
      </c>
      <c r="C214" s="32" t="s">
        <v>116</v>
      </c>
    </row>
    <row r="215" spans="1:3" x14ac:dyDescent="0.55000000000000004">
      <c r="A215" s="9" t="s">
        <v>604</v>
      </c>
      <c r="B215" s="14" t="s">
        <v>605</v>
      </c>
      <c r="C215" s="32" t="s">
        <v>116</v>
      </c>
    </row>
    <row r="216" spans="1:3" x14ac:dyDescent="0.55000000000000004">
      <c r="A216" s="9" t="s">
        <v>606</v>
      </c>
      <c r="B216" s="14" t="s">
        <v>607</v>
      </c>
      <c r="C216" s="32" t="s">
        <v>116</v>
      </c>
    </row>
    <row r="217" spans="1:3" x14ac:dyDescent="0.55000000000000004">
      <c r="A217" s="9" t="s">
        <v>608</v>
      </c>
      <c r="B217" s="14" t="s">
        <v>609</v>
      </c>
      <c r="C217" s="32" t="s">
        <v>116</v>
      </c>
    </row>
    <row r="218" spans="1:3" x14ac:dyDescent="0.55000000000000004">
      <c r="A218" s="9" t="s">
        <v>610</v>
      </c>
      <c r="B218" s="14" t="s">
        <v>611</v>
      </c>
      <c r="C218" s="32" t="s">
        <v>116</v>
      </c>
    </row>
    <row r="219" spans="1:3" x14ac:dyDescent="0.55000000000000004">
      <c r="A219" s="9"/>
      <c r="B219" s="14"/>
      <c r="C219" s="32" t="s">
        <v>116</v>
      </c>
    </row>
    <row r="220" spans="1:3" x14ac:dyDescent="0.55000000000000004">
      <c r="A220" s="9" t="s">
        <v>612</v>
      </c>
      <c r="B220" s="14" t="s">
        <v>613</v>
      </c>
      <c r="C220" s="32" t="s">
        <v>116</v>
      </c>
    </row>
    <row r="221" spans="1:3" x14ac:dyDescent="0.55000000000000004">
      <c r="A221" s="9" t="s">
        <v>614</v>
      </c>
      <c r="B221" s="14" t="s">
        <v>615</v>
      </c>
      <c r="C221" s="32" t="s">
        <v>116</v>
      </c>
    </row>
    <row r="222" spans="1:3" x14ac:dyDescent="0.55000000000000004">
      <c r="A222" s="9" t="s">
        <v>616</v>
      </c>
      <c r="B222" s="14" t="s">
        <v>617</v>
      </c>
      <c r="C222" s="32" t="s">
        <v>116</v>
      </c>
    </row>
    <row r="223" spans="1:3" x14ac:dyDescent="0.55000000000000004">
      <c r="A223" s="9" t="s">
        <v>618</v>
      </c>
      <c r="B223" s="14" t="s">
        <v>619</v>
      </c>
      <c r="C223" s="32" t="s">
        <v>116</v>
      </c>
    </row>
    <row r="224" spans="1:3" x14ac:dyDescent="0.55000000000000004">
      <c r="A224" s="9"/>
      <c r="B224" s="14"/>
      <c r="C224" s="32" t="s">
        <v>116</v>
      </c>
    </row>
    <row r="225" spans="1:4" x14ac:dyDescent="0.55000000000000004">
      <c r="A225" s="9" t="s">
        <v>620</v>
      </c>
      <c r="B225" s="14" t="s">
        <v>621</v>
      </c>
      <c r="C225" s="32" t="s">
        <v>116</v>
      </c>
    </row>
    <row r="226" spans="1:4" x14ac:dyDescent="0.55000000000000004">
      <c r="A226" s="9" t="s">
        <v>622</v>
      </c>
      <c r="B226" s="14" t="s">
        <v>623</v>
      </c>
      <c r="C226" s="32" t="s">
        <v>116</v>
      </c>
    </row>
    <row r="227" spans="1:4" x14ac:dyDescent="0.55000000000000004">
      <c r="A227" s="9"/>
      <c r="B227" s="14"/>
      <c r="C227" s="32" t="s">
        <v>116</v>
      </c>
    </row>
    <row r="228" spans="1:4" x14ac:dyDescent="0.55000000000000004">
      <c r="A228" s="9"/>
      <c r="B228" s="14"/>
      <c r="C228" s="32" t="s">
        <v>116</v>
      </c>
    </row>
    <row r="229" spans="1:4" ht="20.399999999999999" customHeight="1" x14ac:dyDescent="0.75">
      <c r="A229" s="10" t="s">
        <v>624</v>
      </c>
      <c r="B229" s="12"/>
      <c r="C229" s="12"/>
      <c r="D229" s="12" t="s">
        <v>625</v>
      </c>
    </row>
    <row r="230" spans="1:4" x14ac:dyDescent="0.55000000000000004">
      <c r="A230" s="9" t="s">
        <v>626</v>
      </c>
      <c r="B230" s="14" t="s">
        <v>627</v>
      </c>
      <c r="C230" s="32" t="s">
        <v>625</v>
      </c>
    </row>
    <row r="231" spans="1:4" x14ac:dyDescent="0.55000000000000004">
      <c r="A231" s="9" t="s">
        <v>628</v>
      </c>
      <c r="B231" s="14" t="s">
        <v>124</v>
      </c>
      <c r="C231" s="32" t="s">
        <v>625</v>
      </c>
    </row>
    <row r="232" spans="1:4" x14ac:dyDescent="0.55000000000000004">
      <c r="A232" s="9" t="s">
        <v>629</v>
      </c>
      <c r="B232" s="14" t="s">
        <v>630</v>
      </c>
      <c r="C232" s="32" t="s">
        <v>625</v>
      </c>
    </row>
    <row r="233" spans="1:4" x14ac:dyDescent="0.55000000000000004">
      <c r="A233" s="9" t="s">
        <v>631</v>
      </c>
      <c r="B233" s="14" t="s">
        <v>125</v>
      </c>
      <c r="C233" s="32" t="s">
        <v>625</v>
      </c>
    </row>
    <row r="234" spans="1:4" x14ac:dyDescent="0.55000000000000004">
      <c r="A234" s="9" t="s">
        <v>632</v>
      </c>
      <c r="B234" s="14" t="s">
        <v>126</v>
      </c>
      <c r="C234" s="32" t="s">
        <v>625</v>
      </c>
    </row>
    <row r="235" spans="1:4" x14ac:dyDescent="0.55000000000000004">
      <c r="A235" s="9" t="s">
        <v>633</v>
      </c>
      <c r="B235" s="14" t="s">
        <v>634</v>
      </c>
      <c r="C235" s="32" t="s">
        <v>625</v>
      </c>
    </row>
    <row r="236" spans="1:4" x14ac:dyDescent="0.55000000000000004">
      <c r="A236" s="9" t="s">
        <v>635</v>
      </c>
      <c r="B236" s="14" t="s">
        <v>636</v>
      </c>
      <c r="C236" s="32" t="s">
        <v>625</v>
      </c>
    </row>
    <row r="237" spans="1:4" x14ac:dyDescent="0.55000000000000004">
      <c r="A237" s="9" t="s">
        <v>637</v>
      </c>
      <c r="B237" s="14" t="s">
        <v>638</v>
      </c>
      <c r="C237" s="32" t="s">
        <v>625</v>
      </c>
    </row>
    <row r="239" spans="1:4" ht="20.399999999999999" customHeight="1" x14ac:dyDescent="0.75">
      <c r="A239" s="10" t="s">
        <v>381</v>
      </c>
      <c r="B239" s="61"/>
      <c r="C239" s="61"/>
    </row>
    <row r="240" spans="1:4" x14ac:dyDescent="0.55000000000000004">
      <c r="A240" s="9" t="s">
        <v>639</v>
      </c>
      <c r="B240" s="14" t="s">
        <v>640</v>
      </c>
      <c r="C240" s="32" t="s">
        <v>94</v>
      </c>
    </row>
    <row r="241" spans="1:3" x14ac:dyDescent="0.55000000000000004">
      <c r="A241" s="9" t="s">
        <v>641</v>
      </c>
      <c r="B241" s="14" t="s">
        <v>642</v>
      </c>
      <c r="C241" s="32" t="s">
        <v>94</v>
      </c>
    </row>
    <row r="242" spans="1:3" x14ac:dyDescent="0.55000000000000004">
      <c r="A242" s="9" t="s">
        <v>643</v>
      </c>
      <c r="B242" s="14" t="s">
        <v>644</v>
      </c>
      <c r="C242" s="32" t="s">
        <v>94</v>
      </c>
    </row>
    <row r="243" spans="1:3" x14ac:dyDescent="0.55000000000000004">
      <c r="A243" s="9" t="s">
        <v>645</v>
      </c>
      <c r="B243" s="14" t="s">
        <v>646</v>
      </c>
      <c r="C243" s="32" t="s">
        <v>94</v>
      </c>
    </row>
    <row r="244" spans="1:3" x14ac:dyDescent="0.55000000000000004">
      <c r="A244" s="9" t="s">
        <v>647</v>
      </c>
      <c r="B244" s="14" t="s">
        <v>648</v>
      </c>
      <c r="C244" s="32" t="s">
        <v>94</v>
      </c>
    </row>
    <row r="245" spans="1:3" ht="20.399999999999999" customHeight="1" x14ac:dyDescent="0.75">
      <c r="A245" s="10" t="s">
        <v>649</v>
      </c>
      <c r="B245" s="61"/>
      <c r="C245" s="61"/>
    </row>
    <row r="246" spans="1:3" x14ac:dyDescent="0.55000000000000004">
      <c r="A246" s="9" t="s">
        <v>650</v>
      </c>
      <c r="B246" s="14" t="s">
        <v>651</v>
      </c>
      <c r="C246" s="32" t="s">
        <v>94</v>
      </c>
    </row>
    <row r="247" spans="1:3" x14ac:dyDescent="0.55000000000000004">
      <c r="A247" s="9" t="s">
        <v>652</v>
      </c>
      <c r="B247" s="14" t="s">
        <v>653</v>
      </c>
      <c r="C247" s="32" t="s">
        <v>94</v>
      </c>
    </row>
    <row r="248" spans="1:3" x14ac:dyDescent="0.55000000000000004">
      <c r="A248" s="9" t="s">
        <v>654</v>
      </c>
      <c r="B248" s="14" t="s">
        <v>655</v>
      </c>
      <c r="C248" s="32" t="s">
        <v>94</v>
      </c>
    </row>
    <row r="249" spans="1:3" x14ac:dyDescent="0.55000000000000004">
      <c r="A249" s="9" t="s">
        <v>656</v>
      </c>
      <c r="B249" s="14" t="s">
        <v>657</v>
      </c>
      <c r="C249" s="32" t="s">
        <v>94</v>
      </c>
    </row>
    <row r="250" spans="1:3" x14ac:dyDescent="0.55000000000000004">
      <c r="A250" s="9" t="s">
        <v>658</v>
      </c>
      <c r="B250" s="14" t="s">
        <v>659</v>
      </c>
      <c r="C250" s="32" t="s">
        <v>94</v>
      </c>
    </row>
    <row r="251" spans="1:3" x14ac:dyDescent="0.55000000000000004">
      <c r="A251" s="9" t="s">
        <v>660</v>
      </c>
      <c r="B251" s="14" t="s">
        <v>661</v>
      </c>
      <c r="C251" s="32" t="s">
        <v>94</v>
      </c>
    </row>
    <row r="252" spans="1:3" x14ac:dyDescent="0.55000000000000004">
      <c r="A252" s="9" t="s">
        <v>662</v>
      </c>
      <c r="B252" s="14" t="s">
        <v>663</v>
      </c>
      <c r="C252" s="32" t="s">
        <v>94</v>
      </c>
    </row>
    <row r="253" spans="1:3" x14ac:dyDescent="0.55000000000000004">
      <c r="A253" s="9" t="s">
        <v>664</v>
      </c>
      <c r="B253" s="14" t="s">
        <v>665</v>
      </c>
      <c r="C253" s="32" t="s">
        <v>94</v>
      </c>
    </row>
    <row r="254" spans="1:3" x14ac:dyDescent="0.55000000000000004">
      <c r="A254" s="9" t="s">
        <v>666</v>
      </c>
      <c r="B254" s="14" t="s">
        <v>667</v>
      </c>
      <c r="C254" s="32" t="s">
        <v>94</v>
      </c>
    </row>
    <row r="255" spans="1:3" x14ac:dyDescent="0.55000000000000004">
      <c r="A255" s="9" t="s">
        <v>668</v>
      </c>
      <c r="B255" s="14" t="s">
        <v>669</v>
      </c>
      <c r="C255" s="32" t="s">
        <v>94</v>
      </c>
    </row>
    <row r="256" spans="1:3" x14ac:dyDescent="0.55000000000000004">
      <c r="A256" s="9" t="s">
        <v>670</v>
      </c>
      <c r="B256" s="14" t="s">
        <v>671</v>
      </c>
      <c r="C256" s="32" t="s">
        <v>94</v>
      </c>
    </row>
    <row r="257" spans="1:4" x14ac:dyDescent="0.55000000000000004">
      <c r="A257" s="9" t="s">
        <v>672</v>
      </c>
      <c r="B257" s="14" t="s">
        <v>673</v>
      </c>
      <c r="C257" s="32" t="s">
        <v>94</v>
      </c>
    </row>
    <row r="258" spans="1:4" x14ac:dyDescent="0.55000000000000004">
      <c r="A258" s="9" t="s">
        <v>674</v>
      </c>
      <c r="B258" s="14" t="s">
        <v>675</v>
      </c>
      <c r="C258" s="32" t="s">
        <v>94</v>
      </c>
    </row>
    <row r="259" spans="1:4" x14ac:dyDescent="0.55000000000000004">
      <c r="A259" s="9" t="s">
        <v>676</v>
      </c>
      <c r="B259" s="14" t="s">
        <v>677</v>
      </c>
      <c r="C259" s="32" t="s">
        <v>94</v>
      </c>
    </row>
    <row r="260" spans="1:4" x14ac:dyDescent="0.55000000000000004">
      <c r="A260" s="9"/>
      <c r="B260" s="14"/>
      <c r="C260" s="32" t="s">
        <v>94</v>
      </c>
    </row>
    <row r="261" spans="1:4" x14ac:dyDescent="0.55000000000000004">
      <c r="A261" s="9"/>
      <c r="B261" s="14"/>
      <c r="C261" s="32" t="s">
        <v>94</v>
      </c>
    </row>
    <row r="262" spans="1:4" ht="20.399999999999999" customHeight="1" x14ac:dyDescent="0.75">
      <c r="A262" s="10" t="s">
        <v>678</v>
      </c>
      <c r="B262" s="61"/>
      <c r="C262" s="61"/>
      <c r="D262" s="61" t="s">
        <v>91</v>
      </c>
    </row>
    <row r="263" spans="1:4" x14ac:dyDescent="0.55000000000000004">
      <c r="A263" s="9"/>
      <c r="B263" s="14"/>
      <c r="C263" s="32" t="s">
        <v>91</v>
      </c>
    </row>
    <row r="264" spans="1:4" x14ac:dyDescent="0.55000000000000004">
      <c r="A264" s="9" t="s">
        <v>679</v>
      </c>
      <c r="B264" s="14" t="s">
        <v>680</v>
      </c>
      <c r="C264" s="32" t="s">
        <v>91</v>
      </c>
    </row>
    <row r="265" spans="1:4" x14ac:dyDescent="0.55000000000000004">
      <c r="A265" s="9"/>
      <c r="B265" s="14"/>
      <c r="C265" s="32" t="s">
        <v>91</v>
      </c>
    </row>
    <row r="266" spans="1:4" x14ac:dyDescent="0.55000000000000004">
      <c r="A266" s="9" t="s">
        <v>681</v>
      </c>
      <c r="B266" s="14" t="s">
        <v>682</v>
      </c>
      <c r="C266" s="32" t="s">
        <v>91</v>
      </c>
    </row>
    <row r="267" spans="1:4" x14ac:dyDescent="0.55000000000000004">
      <c r="A267" s="9" t="s">
        <v>683</v>
      </c>
      <c r="B267" s="14" t="s">
        <v>127</v>
      </c>
      <c r="C267" s="32" t="s">
        <v>91</v>
      </c>
    </row>
    <row r="268" spans="1:4" x14ac:dyDescent="0.55000000000000004">
      <c r="A268" s="9" t="s">
        <v>684</v>
      </c>
      <c r="B268" s="14" t="s">
        <v>128</v>
      </c>
      <c r="C268" s="32" t="s">
        <v>91</v>
      </c>
    </row>
    <row r="269" spans="1:4" x14ac:dyDescent="0.55000000000000004">
      <c r="A269" s="9" t="s">
        <v>685</v>
      </c>
      <c r="B269" s="14" t="s">
        <v>129</v>
      </c>
      <c r="C269" s="32" t="s">
        <v>91</v>
      </c>
    </row>
    <row r="270" spans="1:4" x14ac:dyDescent="0.55000000000000004">
      <c r="A270" s="9" t="s">
        <v>686</v>
      </c>
      <c r="B270" s="14" t="s">
        <v>687</v>
      </c>
      <c r="C270" s="32" t="s">
        <v>91</v>
      </c>
    </row>
    <row r="271" spans="1:4" x14ac:dyDescent="0.55000000000000004">
      <c r="A271" s="9" t="s">
        <v>688</v>
      </c>
      <c r="B271" s="14" t="s">
        <v>689</v>
      </c>
      <c r="C271" s="32" t="s">
        <v>91</v>
      </c>
    </row>
    <row r="272" spans="1:4" x14ac:dyDescent="0.55000000000000004">
      <c r="A272" s="9" t="s">
        <v>690</v>
      </c>
      <c r="B272" s="14" t="s">
        <v>691</v>
      </c>
      <c r="C272" s="32" t="s">
        <v>91</v>
      </c>
    </row>
    <row r="273" spans="1:3" x14ac:dyDescent="0.55000000000000004">
      <c r="A273" s="9" t="s">
        <v>692</v>
      </c>
      <c r="B273" s="14" t="s">
        <v>693</v>
      </c>
      <c r="C273" s="32" t="s">
        <v>91</v>
      </c>
    </row>
    <row r="274" spans="1:3" x14ac:dyDescent="0.55000000000000004">
      <c r="A274" s="9" t="s">
        <v>694</v>
      </c>
      <c r="B274" s="14" t="s">
        <v>130</v>
      </c>
      <c r="C274" s="32" t="s">
        <v>91</v>
      </c>
    </row>
    <row r="275" spans="1:3" x14ac:dyDescent="0.55000000000000004">
      <c r="A275" s="9"/>
      <c r="B275" s="14"/>
      <c r="C275" s="32" t="s">
        <v>91</v>
      </c>
    </row>
    <row r="276" spans="1:3" x14ac:dyDescent="0.55000000000000004">
      <c r="A276" s="9" t="s">
        <v>695</v>
      </c>
      <c r="B276" s="14" t="s">
        <v>696</v>
      </c>
      <c r="C276" s="32" t="s">
        <v>91</v>
      </c>
    </row>
    <row r="277" spans="1:3" x14ac:dyDescent="0.55000000000000004">
      <c r="A277" s="9" t="s">
        <v>697</v>
      </c>
      <c r="B277" s="14" t="s">
        <v>698</v>
      </c>
      <c r="C277" s="32" t="s">
        <v>91</v>
      </c>
    </row>
    <row r="278" spans="1:3" x14ac:dyDescent="0.55000000000000004">
      <c r="A278" s="9" t="s">
        <v>699</v>
      </c>
      <c r="B278" s="14" t="s">
        <v>700</v>
      </c>
      <c r="C278" s="32" t="s">
        <v>91</v>
      </c>
    </row>
    <row r="279" spans="1:3" x14ac:dyDescent="0.55000000000000004">
      <c r="A279" s="9" t="s">
        <v>701</v>
      </c>
      <c r="B279" s="14" t="s">
        <v>702</v>
      </c>
      <c r="C279" s="32" t="s">
        <v>91</v>
      </c>
    </row>
    <row r="280" spans="1:3" x14ac:dyDescent="0.55000000000000004">
      <c r="A280" s="9" t="s">
        <v>703</v>
      </c>
      <c r="B280" s="14" t="s">
        <v>704</v>
      </c>
      <c r="C280" s="32" t="s">
        <v>91</v>
      </c>
    </row>
    <row r="281" spans="1:3" x14ac:dyDescent="0.55000000000000004">
      <c r="A281" s="9"/>
      <c r="B281" s="14"/>
      <c r="C281" s="32" t="s">
        <v>91</v>
      </c>
    </row>
    <row r="282" spans="1:3" x14ac:dyDescent="0.55000000000000004">
      <c r="A282" s="9" t="s">
        <v>705</v>
      </c>
      <c r="B282" s="14" t="s">
        <v>706</v>
      </c>
      <c r="C282" s="32" t="s">
        <v>91</v>
      </c>
    </row>
    <row r="283" spans="1:3" x14ac:dyDescent="0.55000000000000004">
      <c r="A283" s="9" t="s">
        <v>707</v>
      </c>
      <c r="B283" s="14" t="s">
        <v>708</v>
      </c>
      <c r="C283" s="32" t="s">
        <v>91</v>
      </c>
    </row>
    <row r="284" spans="1:3" x14ac:dyDescent="0.55000000000000004">
      <c r="A284" s="9" t="s">
        <v>709</v>
      </c>
      <c r="B284" s="14" t="s">
        <v>710</v>
      </c>
      <c r="C284" s="32" t="s">
        <v>91</v>
      </c>
    </row>
    <row r="285" spans="1:3" x14ac:dyDescent="0.55000000000000004">
      <c r="A285" s="9" t="s">
        <v>711</v>
      </c>
      <c r="B285" s="14" t="s">
        <v>712</v>
      </c>
      <c r="C285" s="32" t="s">
        <v>91</v>
      </c>
    </row>
    <row r="286" spans="1:3" x14ac:dyDescent="0.55000000000000004">
      <c r="A286" s="9" t="s">
        <v>713</v>
      </c>
      <c r="B286" s="14" t="s">
        <v>714</v>
      </c>
      <c r="C286" s="32" t="s">
        <v>91</v>
      </c>
    </row>
    <row r="287" spans="1:3" x14ac:dyDescent="0.55000000000000004">
      <c r="A287" s="9"/>
      <c r="B287" s="14"/>
      <c r="C287" s="32" t="s">
        <v>91</v>
      </c>
    </row>
    <row r="288" spans="1:3" x14ac:dyDescent="0.55000000000000004">
      <c r="A288" s="9" t="s">
        <v>715</v>
      </c>
      <c r="B288" s="14" t="s">
        <v>716</v>
      </c>
      <c r="C288" s="32" t="s">
        <v>91</v>
      </c>
    </row>
    <row r="289" spans="1:4" x14ac:dyDescent="0.55000000000000004">
      <c r="A289" s="9" t="s">
        <v>717</v>
      </c>
      <c r="B289" s="14" t="s">
        <v>718</v>
      </c>
      <c r="C289" s="32" t="s">
        <v>91</v>
      </c>
    </row>
    <row r="290" spans="1:4" x14ac:dyDescent="0.55000000000000004">
      <c r="A290" s="9" t="s">
        <v>719</v>
      </c>
      <c r="B290" s="14" t="s">
        <v>720</v>
      </c>
      <c r="C290" s="32" t="s">
        <v>91</v>
      </c>
    </row>
    <row r="291" spans="1:4" x14ac:dyDescent="0.55000000000000004">
      <c r="A291" s="9" t="s">
        <v>721</v>
      </c>
      <c r="B291" s="14" t="s">
        <v>722</v>
      </c>
      <c r="C291" s="32" t="s">
        <v>91</v>
      </c>
    </row>
    <row r="292" spans="1:4" x14ac:dyDescent="0.55000000000000004">
      <c r="A292" s="9" t="s">
        <v>723</v>
      </c>
      <c r="B292" s="14" t="s">
        <v>724</v>
      </c>
      <c r="C292" s="32" t="s">
        <v>91</v>
      </c>
    </row>
    <row r="293" spans="1:4" x14ac:dyDescent="0.55000000000000004">
      <c r="A293" s="9"/>
      <c r="B293" s="14"/>
      <c r="C293" s="32" t="s">
        <v>91</v>
      </c>
    </row>
    <row r="294" spans="1:4" x14ac:dyDescent="0.55000000000000004">
      <c r="A294" s="9" t="s">
        <v>725</v>
      </c>
      <c r="B294" s="14" t="s">
        <v>726</v>
      </c>
      <c r="C294" s="32" t="s">
        <v>91</v>
      </c>
    </row>
    <row r="295" spans="1:4" x14ac:dyDescent="0.55000000000000004">
      <c r="A295" s="9" t="s">
        <v>727</v>
      </c>
      <c r="B295" s="14" t="s">
        <v>728</v>
      </c>
      <c r="C295" s="32" t="s">
        <v>91</v>
      </c>
    </row>
    <row r="296" spans="1:4" x14ac:dyDescent="0.55000000000000004">
      <c r="A296" s="9" t="s">
        <v>729</v>
      </c>
      <c r="B296" s="14" t="s">
        <v>730</v>
      </c>
      <c r="C296" s="32" t="s">
        <v>91</v>
      </c>
    </row>
    <row r="297" spans="1:4" x14ac:dyDescent="0.55000000000000004">
      <c r="A297" s="9" t="s">
        <v>731</v>
      </c>
      <c r="B297" s="14" t="s">
        <v>732</v>
      </c>
      <c r="C297" s="32" t="s">
        <v>91</v>
      </c>
    </row>
    <row r="298" spans="1:4" x14ac:dyDescent="0.55000000000000004">
      <c r="A298" s="9" t="s">
        <v>733</v>
      </c>
      <c r="B298" s="14" t="s">
        <v>734</v>
      </c>
      <c r="C298" s="32" t="s">
        <v>91</v>
      </c>
    </row>
    <row r="299" spans="1:4" x14ac:dyDescent="0.55000000000000004">
      <c r="A299" s="9" t="s">
        <v>735</v>
      </c>
      <c r="B299" s="14" t="s">
        <v>736</v>
      </c>
      <c r="C299" s="32" t="s">
        <v>91</v>
      </c>
    </row>
    <row r="300" spans="1:4" x14ac:dyDescent="0.55000000000000004">
      <c r="A300" s="9" t="s">
        <v>737</v>
      </c>
      <c r="B300" s="14" t="s">
        <v>738</v>
      </c>
      <c r="C300" s="32" t="s">
        <v>91</v>
      </c>
    </row>
    <row r="301" spans="1:4" x14ac:dyDescent="0.55000000000000004">
      <c r="A301" s="9" t="s">
        <v>739</v>
      </c>
      <c r="B301" s="14" t="s">
        <v>740</v>
      </c>
      <c r="C301" s="32" t="s">
        <v>91</v>
      </c>
    </row>
    <row r="302" spans="1:4" x14ac:dyDescent="0.55000000000000004">
      <c r="A302" s="9"/>
      <c r="B302" s="14"/>
      <c r="C302" s="32" t="s">
        <v>91</v>
      </c>
    </row>
    <row r="303" spans="1:4" ht="20.399999999999999" customHeight="1" x14ac:dyDescent="0.75">
      <c r="A303" s="10" t="s">
        <v>741</v>
      </c>
      <c r="B303" s="61"/>
      <c r="C303" s="61"/>
      <c r="D303" s="61" t="s">
        <v>742</v>
      </c>
    </row>
    <row r="304" spans="1:4" x14ac:dyDescent="0.55000000000000004">
      <c r="A304" s="9"/>
      <c r="B304" s="14"/>
      <c r="C304" s="32" t="s">
        <v>742</v>
      </c>
    </row>
    <row r="305" spans="1:3" x14ac:dyDescent="0.55000000000000004">
      <c r="A305" s="9" t="s">
        <v>743</v>
      </c>
      <c r="B305" s="14" t="s">
        <v>744</v>
      </c>
      <c r="C305" s="32" t="s">
        <v>742</v>
      </c>
    </row>
    <row r="306" spans="1:3" x14ac:dyDescent="0.55000000000000004">
      <c r="A306" s="9" t="s">
        <v>745</v>
      </c>
      <c r="B306" s="14" t="s">
        <v>746</v>
      </c>
      <c r="C306" s="32" t="s">
        <v>742</v>
      </c>
    </row>
    <row r="307" spans="1:3" x14ac:dyDescent="0.55000000000000004">
      <c r="A307" s="9" t="s">
        <v>747</v>
      </c>
      <c r="B307" s="14" t="s">
        <v>748</v>
      </c>
      <c r="C307" s="32" t="s">
        <v>742</v>
      </c>
    </row>
    <row r="308" spans="1:3" x14ac:dyDescent="0.55000000000000004">
      <c r="A308" s="9" t="s">
        <v>749</v>
      </c>
      <c r="B308" s="14" t="s">
        <v>750</v>
      </c>
      <c r="C308" s="32" t="s">
        <v>742</v>
      </c>
    </row>
    <row r="309" spans="1:3" x14ac:dyDescent="0.55000000000000004">
      <c r="A309" s="9" t="s">
        <v>751</v>
      </c>
      <c r="B309" s="14" t="s">
        <v>752</v>
      </c>
      <c r="C309" s="32" t="s">
        <v>742</v>
      </c>
    </row>
    <row r="310" spans="1:3" x14ac:dyDescent="0.55000000000000004">
      <c r="A310" s="9" t="s">
        <v>753</v>
      </c>
      <c r="B310" s="14" t="s">
        <v>754</v>
      </c>
      <c r="C310" s="32" t="s">
        <v>742</v>
      </c>
    </row>
    <row r="311" spans="1:3" x14ac:dyDescent="0.55000000000000004">
      <c r="A311" s="9" t="s">
        <v>755</v>
      </c>
      <c r="B311" s="14" t="s">
        <v>756</v>
      </c>
      <c r="C311" s="32" t="s">
        <v>742</v>
      </c>
    </row>
    <row r="312" spans="1:3" x14ac:dyDescent="0.55000000000000004">
      <c r="A312" s="9" t="s">
        <v>757</v>
      </c>
      <c r="B312" s="14" t="s">
        <v>758</v>
      </c>
      <c r="C312" s="32" t="s">
        <v>742</v>
      </c>
    </row>
    <row r="313" spans="1:3" x14ac:dyDescent="0.55000000000000004">
      <c r="A313" s="9" t="s">
        <v>759</v>
      </c>
      <c r="B313" s="14" t="s">
        <v>760</v>
      </c>
      <c r="C313" s="32" t="s">
        <v>742</v>
      </c>
    </row>
    <row r="314" spans="1:3" x14ac:dyDescent="0.55000000000000004">
      <c r="A314" s="9" t="s">
        <v>761</v>
      </c>
      <c r="B314" s="14" t="s">
        <v>762</v>
      </c>
      <c r="C314" s="32" t="s">
        <v>742</v>
      </c>
    </row>
    <row r="315" spans="1:3" x14ac:dyDescent="0.55000000000000004">
      <c r="A315" s="9" t="s">
        <v>763</v>
      </c>
      <c r="B315" s="14" t="s">
        <v>764</v>
      </c>
      <c r="C315" s="32" t="s">
        <v>742</v>
      </c>
    </row>
    <row r="316" spans="1:3" x14ac:dyDescent="0.55000000000000004">
      <c r="A316" s="9" t="s">
        <v>765</v>
      </c>
      <c r="B316" s="14" t="s">
        <v>766</v>
      </c>
      <c r="C316" s="32" t="s">
        <v>742</v>
      </c>
    </row>
    <row r="317" spans="1:3" x14ac:dyDescent="0.55000000000000004">
      <c r="A317" s="9" t="s">
        <v>767</v>
      </c>
      <c r="B317" s="14" t="s">
        <v>768</v>
      </c>
      <c r="C317" s="32" t="s">
        <v>742</v>
      </c>
    </row>
    <row r="318" spans="1:3" x14ac:dyDescent="0.55000000000000004">
      <c r="A318" s="9" t="s">
        <v>769</v>
      </c>
      <c r="B318" s="14" t="s">
        <v>770</v>
      </c>
      <c r="C318" s="32" t="s">
        <v>742</v>
      </c>
    </row>
    <row r="319" spans="1:3" x14ac:dyDescent="0.55000000000000004">
      <c r="A319" s="9" t="s">
        <v>771</v>
      </c>
      <c r="B319" s="14" t="s">
        <v>772</v>
      </c>
      <c r="C319" s="32" t="s">
        <v>742</v>
      </c>
    </row>
    <row r="320" spans="1:3" x14ac:dyDescent="0.55000000000000004">
      <c r="A320" s="9" t="s">
        <v>773</v>
      </c>
      <c r="B320" s="14" t="s">
        <v>774</v>
      </c>
      <c r="C320" s="32" t="s">
        <v>742</v>
      </c>
    </row>
    <row r="321" spans="1:3" x14ac:dyDescent="0.55000000000000004">
      <c r="A321" s="9" t="s">
        <v>775</v>
      </c>
      <c r="B321" s="14" t="s">
        <v>776</v>
      </c>
      <c r="C321" s="32" t="s">
        <v>742</v>
      </c>
    </row>
    <row r="322" spans="1:3" x14ac:dyDescent="0.55000000000000004">
      <c r="A322" s="9" t="s">
        <v>777</v>
      </c>
      <c r="B322" s="14" t="s">
        <v>778</v>
      </c>
      <c r="C322" s="32" t="s">
        <v>742</v>
      </c>
    </row>
    <row r="323" spans="1:3" x14ac:dyDescent="0.55000000000000004">
      <c r="A323" s="9" t="s">
        <v>779</v>
      </c>
      <c r="B323" s="14" t="s">
        <v>780</v>
      </c>
      <c r="C323" s="32" t="s">
        <v>742</v>
      </c>
    </row>
    <row r="324" spans="1:3" x14ac:dyDescent="0.55000000000000004">
      <c r="A324" s="9"/>
      <c r="B324" s="14"/>
      <c r="C324" s="32" t="s">
        <v>742</v>
      </c>
    </row>
    <row r="325" spans="1:3" x14ac:dyDescent="0.55000000000000004">
      <c r="A325" s="9" t="s">
        <v>781</v>
      </c>
      <c r="B325" s="14" t="s">
        <v>782</v>
      </c>
      <c r="C325" s="32" t="s">
        <v>742</v>
      </c>
    </row>
    <row r="326" spans="1:3" x14ac:dyDescent="0.55000000000000004">
      <c r="A326" s="9" t="s">
        <v>783</v>
      </c>
      <c r="B326" s="14" t="s">
        <v>784</v>
      </c>
      <c r="C326" s="32" t="s">
        <v>742</v>
      </c>
    </row>
    <row r="327" spans="1:3" x14ac:dyDescent="0.55000000000000004">
      <c r="A327" s="9" t="s">
        <v>785</v>
      </c>
      <c r="B327" s="14" t="s">
        <v>786</v>
      </c>
      <c r="C327" s="32" t="s">
        <v>742</v>
      </c>
    </row>
    <row r="328" spans="1:3" x14ac:dyDescent="0.55000000000000004">
      <c r="A328" s="9"/>
      <c r="B328" s="14"/>
      <c r="C328" s="32" t="s">
        <v>742</v>
      </c>
    </row>
    <row r="329" spans="1:3" x14ac:dyDescent="0.55000000000000004">
      <c r="A329" s="9" t="s">
        <v>787</v>
      </c>
      <c r="B329" s="14" t="s">
        <v>788</v>
      </c>
      <c r="C329" s="32" t="s">
        <v>742</v>
      </c>
    </row>
    <row r="330" spans="1:3" x14ac:dyDescent="0.55000000000000004">
      <c r="A330" s="9" t="s">
        <v>789</v>
      </c>
      <c r="B330" s="14" t="s">
        <v>790</v>
      </c>
      <c r="C330" s="32" t="s">
        <v>742</v>
      </c>
    </row>
    <row r="331" spans="1:3" x14ac:dyDescent="0.55000000000000004">
      <c r="A331" s="9"/>
      <c r="B331" s="14"/>
      <c r="C331" s="32" t="s">
        <v>742</v>
      </c>
    </row>
    <row r="332" spans="1:3" x14ac:dyDescent="0.55000000000000004">
      <c r="A332" s="9" t="s">
        <v>791</v>
      </c>
      <c r="B332" s="14" t="s">
        <v>792</v>
      </c>
      <c r="C332" s="32" t="s">
        <v>742</v>
      </c>
    </row>
    <row r="333" spans="1:3" x14ac:dyDescent="0.55000000000000004">
      <c r="A333" s="9" t="s">
        <v>793</v>
      </c>
      <c r="B333" s="14" t="s">
        <v>794</v>
      </c>
      <c r="C333" s="32" t="s">
        <v>742</v>
      </c>
    </row>
    <row r="334" spans="1:3" x14ac:dyDescent="0.55000000000000004">
      <c r="A334" s="9" t="s">
        <v>795</v>
      </c>
      <c r="B334" s="14" t="s">
        <v>796</v>
      </c>
      <c r="C334" s="32" t="s">
        <v>742</v>
      </c>
    </row>
    <row r="335" spans="1:3" x14ac:dyDescent="0.55000000000000004">
      <c r="A335" s="9" t="s">
        <v>797</v>
      </c>
      <c r="B335" s="14" t="s">
        <v>798</v>
      </c>
      <c r="C335" s="32" t="s">
        <v>742</v>
      </c>
    </row>
    <row r="336" spans="1:3" x14ac:dyDescent="0.55000000000000004">
      <c r="A336" s="9" t="s">
        <v>799</v>
      </c>
      <c r="B336" s="14" t="s">
        <v>800</v>
      </c>
      <c r="C336" s="32" t="s">
        <v>742</v>
      </c>
    </row>
    <row r="337" spans="1:4" x14ac:dyDescent="0.55000000000000004">
      <c r="A337" s="9" t="s">
        <v>801</v>
      </c>
      <c r="B337" s="14" t="s">
        <v>802</v>
      </c>
      <c r="C337" s="32" t="s">
        <v>742</v>
      </c>
    </row>
    <row r="338" spans="1:4" x14ac:dyDescent="0.55000000000000004">
      <c r="A338" s="9" t="s">
        <v>803</v>
      </c>
      <c r="B338" s="14" t="s">
        <v>804</v>
      </c>
      <c r="C338" s="32" t="s">
        <v>742</v>
      </c>
    </row>
    <row r="339" spans="1:4" x14ac:dyDescent="0.55000000000000004">
      <c r="A339" s="9"/>
      <c r="B339" s="14"/>
      <c r="C339" s="32" t="s">
        <v>742</v>
      </c>
    </row>
    <row r="340" spans="1:4" ht="20.399999999999999" customHeight="1" x14ac:dyDescent="0.75">
      <c r="A340" s="10" t="s">
        <v>805</v>
      </c>
      <c r="B340" s="61"/>
      <c r="C340" s="61"/>
      <c r="D340" s="61" t="s">
        <v>806</v>
      </c>
    </row>
    <row r="341" spans="1:4" x14ac:dyDescent="0.55000000000000004">
      <c r="A341" s="9" t="s">
        <v>807</v>
      </c>
      <c r="B341" s="14" t="s">
        <v>808</v>
      </c>
      <c r="C341" s="32" t="s">
        <v>806</v>
      </c>
    </row>
    <row r="342" spans="1:4" x14ac:dyDescent="0.55000000000000004">
      <c r="A342" s="9" t="s">
        <v>809</v>
      </c>
      <c r="B342" s="14" t="s">
        <v>810</v>
      </c>
      <c r="C342" s="32" t="s">
        <v>806</v>
      </c>
    </row>
    <row r="343" spans="1:4" x14ac:dyDescent="0.55000000000000004">
      <c r="A343" s="9" t="s">
        <v>811</v>
      </c>
      <c r="B343" s="14" t="s">
        <v>812</v>
      </c>
      <c r="C343" s="32" t="s">
        <v>806</v>
      </c>
    </row>
    <row r="344" spans="1:4" x14ac:dyDescent="0.55000000000000004">
      <c r="A344" s="9" t="s">
        <v>813</v>
      </c>
      <c r="B344" s="14" t="s">
        <v>814</v>
      </c>
      <c r="C344" s="32" t="s">
        <v>806</v>
      </c>
    </row>
    <row r="345" spans="1:4" x14ac:dyDescent="0.55000000000000004">
      <c r="A345" s="9" t="s">
        <v>815</v>
      </c>
      <c r="B345" s="14" t="s">
        <v>816</v>
      </c>
      <c r="C345" s="32" t="s">
        <v>806</v>
      </c>
    </row>
    <row r="346" spans="1:4" x14ac:dyDescent="0.55000000000000004">
      <c r="A346" s="9" t="s">
        <v>817</v>
      </c>
      <c r="B346" s="14" t="s">
        <v>818</v>
      </c>
      <c r="C346" s="32" t="s">
        <v>806</v>
      </c>
    </row>
    <row r="347" spans="1:4" x14ac:dyDescent="0.55000000000000004">
      <c r="A347" s="9" t="s">
        <v>819</v>
      </c>
      <c r="B347" s="14" t="s">
        <v>820</v>
      </c>
      <c r="C347" s="32" t="s">
        <v>806</v>
      </c>
    </row>
    <row r="348" spans="1:4" x14ac:dyDescent="0.55000000000000004">
      <c r="A348" s="9" t="s">
        <v>821</v>
      </c>
      <c r="B348" s="14" t="s">
        <v>822</v>
      </c>
      <c r="C348" s="32" t="s">
        <v>806</v>
      </c>
    </row>
    <row r="349" spans="1:4" x14ac:dyDescent="0.55000000000000004">
      <c r="A349" s="9" t="s">
        <v>823</v>
      </c>
      <c r="B349" s="14" t="s">
        <v>824</v>
      </c>
      <c r="C349" s="32" t="s">
        <v>806</v>
      </c>
    </row>
    <row r="350" spans="1:4" x14ac:dyDescent="0.55000000000000004">
      <c r="A350" s="9" t="s">
        <v>825</v>
      </c>
      <c r="B350" s="14" t="s">
        <v>826</v>
      </c>
      <c r="C350" s="32" t="s">
        <v>806</v>
      </c>
    </row>
    <row r="351" spans="1:4" x14ac:dyDescent="0.55000000000000004">
      <c r="A351" s="9" t="s">
        <v>827</v>
      </c>
      <c r="B351" s="14" t="s">
        <v>828</v>
      </c>
      <c r="C351" s="32" t="s">
        <v>806</v>
      </c>
    </row>
    <row r="352" spans="1:4" x14ac:dyDescent="0.55000000000000004">
      <c r="A352" s="9" t="s">
        <v>829</v>
      </c>
      <c r="B352" s="14" t="s">
        <v>830</v>
      </c>
      <c r="C352" s="32" t="s">
        <v>806</v>
      </c>
    </row>
    <row r="353" spans="1:3" x14ac:dyDescent="0.55000000000000004">
      <c r="A353" s="9" t="s">
        <v>831</v>
      </c>
      <c r="B353" s="14" t="s">
        <v>832</v>
      </c>
      <c r="C353" s="32" t="s">
        <v>806</v>
      </c>
    </row>
    <row r="354" spans="1:3" x14ac:dyDescent="0.55000000000000004">
      <c r="A354" s="9" t="s">
        <v>833</v>
      </c>
      <c r="B354" s="14" t="s">
        <v>834</v>
      </c>
      <c r="C354" s="32" t="s">
        <v>806</v>
      </c>
    </row>
    <row r="355" spans="1:3" x14ac:dyDescent="0.55000000000000004">
      <c r="A355" s="9" t="s">
        <v>835</v>
      </c>
      <c r="B355" s="14" t="s">
        <v>836</v>
      </c>
      <c r="C355" s="32" t="s">
        <v>806</v>
      </c>
    </row>
    <row r="356" spans="1:3" x14ac:dyDescent="0.55000000000000004">
      <c r="A356" s="9" t="s">
        <v>837</v>
      </c>
      <c r="B356" s="14" t="s">
        <v>838</v>
      </c>
      <c r="C356" s="32" t="s">
        <v>806</v>
      </c>
    </row>
    <row r="357" spans="1:3" x14ac:dyDescent="0.55000000000000004">
      <c r="A357" s="9" t="s">
        <v>839</v>
      </c>
      <c r="B357" s="14" t="s">
        <v>840</v>
      </c>
      <c r="C357" s="32" t="s">
        <v>806</v>
      </c>
    </row>
    <row r="358" spans="1:3" x14ac:dyDescent="0.55000000000000004">
      <c r="A358" s="9" t="s">
        <v>841</v>
      </c>
      <c r="B358" s="14" t="s">
        <v>842</v>
      </c>
      <c r="C358" s="32" t="s">
        <v>806</v>
      </c>
    </row>
    <row r="359" spans="1:3" x14ac:dyDescent="0.55000000000000004">
      <c r="A359" s="9" t="s">
        <v>843</v>
      </c>
      <c r="B359" s="14" t="s">
        <v>844</v>
      </c>
      <c r="C359" s="32" t="s">
        <v>806</v>
      </c>
    </row>
    <row r="360" spans="1:3" x14ac:dyDescent="0.55000000000000004">
      <c r="A360" s="9" t="s">
        <v>845</v>
      </c>
      <c r="B360" s="14" t="s">
        <v>846</v>
      </c>
      <c r="C360" s="32" t="s">
        <v>806</v>
      </c>
    </row>
    <row r="361" spans="1:3" x14ac:dyDescent="0.55000000000000004">
      <c r="A361" s="9"/>
      <c r="B361" s="14"/>
      <c r="C361" s="32" t="s">
        <v>806</v>
      </c>
    </row>
    <row r="362" spans="1:3" x14ac:dyDescent="0.55000000000000004">
      <c r="A362" s="9" t="s">
        <v>847</v>
      </c>
      <c r="B362" s="14" t="s">
        <v>848</v>
      </c>
      <c r="C362" s="32" t="s">
        <v>806</v>
      </c>
    </row>
    <row r="363" spans="1:3" x14ac:dyDescent="0.55000000000000004">
      <c r="A363" s="9" t="s">
        <v>849</v>
      </c>
      <c r="B363" s="14" t="s">
        <v>850</v>
      </c>
      <c r="C363" s="32" t="s">
        <v>806</v>
      </c>
    </row>
    <row r="364" spans="1:3" x14ac:dyDescent="0.55000000000000004">
      <c r="A364" s="9" t="s">
        <v>851</v>
      </c>
      <c r="B364" s="14" t="s">
        <v>852</v>
      </c>
      <c r="C364" s="32" t="s">
        <v>806</v>
      </c>
    </row>
    <row r="365" spans="1:3" x14ac:dyDescent="0.55000000000000004">
      <c r="A365" s="9" t="s">
        <v>853</v>
      </c>
      <c r="B365" s="14" t="s">
        <v>854</v>
      </c>
      <c r="C365" s="32" t="s">
        <v>806</v>
      </c>
    </row>
    <row r="366" spans="1:3" x14ac:dyDescent="0.55000000000000004">
      <c r="A366" s="9"/>
      <c r="B366" s="14"/>
      <c r="C366" s="32" t="s">
        <v>806</v>
      </c>
    </row>
    <row r="367" spans="1:3" x14ac:dyDescent="0.55000000000000004">
      <c r="A367" s="9" t="s">
        <v>855</v>
      </c>
      <c r="B367" s="14" t="s">
        <v>856</v>
      </c>
      <c r="C367" s="32" t="s">
        <v>806</v>
      </c>
    </row>
    <row r="368" spans="1:3" x14ac:dyDescent="0.55000000000000004">
      <c r="A368" s="9" t="s">
        <v>857</v>
      </c>
      <c r="B368" s="14" t="s">
        <v>858</v>
      </c>
      <c r="C368" s="32" t="s">
        <v>806</v>
      </c>
    </row>
    <row r="369" spans="1:3" x14ac:dyDescent="0.55000000000000004">
      <c r="A369" s="9" t="s">
        <v>859</v>
      </c>
      <c r="B369" s="14" t="s">
        <v>860</v>
      </c>
      <c r="C369" s="32" t="s">
        <v>806</v>
      </c>
    </row>
    <row r="370" spans="1:3" x14ac:dyDescent="0.55000000000000004">
      <c r="A370" s="9" t="s">
        <v>861</v>
      </c>
      <c r="B370" s="14" t="s">
        <v>862</v>
      </c>
      <c r="C370" s="32" t="s">
        <v>806</v>
      </c>
    </row>
    <row r="371" spans="1:3" x14ac:dyDescent="0.55000000000000004">
      <c r="A371" s="9"/>
      <c r="B371" s="14"/>
      <c r="C371" s="32" t="s">
        <v>806</v>
      </c>
    </row>
    <row r="372" spans="1:3" x14ac:dyDescent="0.55000000000000004">
      <c r="A372" s="9" t="s">
        <v>863</v>
      </c>
      <c r="B372" s="14" t="s">
        <v>864</v>
      </c>
      <c r="C372" s="32" t="s">
        <v>806</v>
      </c>
    </row>
    <row r="373" spans="1:3" x14ac:dyDescent="0.55000000000000004">
      <c r="A373" s="9" t="s">
        <v>865</v>
      </c>
      <c r="B373" s="14" t="s">
        <v>866</v>
      </c>
      <c r="C373" s="32" t="s">
        <v>806</v>
      </c>
    </row>
    <row r="374" spans="1:3" x14ac:dyDescent="0.55000000000000004">
      <c r="A374" s="9" t="s">
        <v>867</v>
      </c>
      <c r="B374" s="14" t="s">
        <v>868</v>
      </c>
      <c r="C374" s="32" t="s">
        <v>806</v>
      </c>
    </row>
    <row r="375" spans="1:3" x14ac:dyDescent="0.55000000000000004">
      <c r="A375" s="9" t="s">
        <v>869</v>
      </c>
      <c r="B375" s="14" t="s">
        <v>870</v>
      </c>
      <c r="C375" s="32" t="s">
        <v>806</v>
      </c>
    </row>
    <row r="376" spans="1:3" x14ac:dyDescent="0.55000000000000004">
      <c r="A376" s="9"/>
      <c r="B376" s="14"/>
      <c r="C376" s="32" t="s">
        <v>806</v>
      </c>
    </row>
    <row r="377" spans="1:3" x14ac:dyDescent="0.55000000000000004">
      <c r="A377" s="9" t="s">
        <v>871</v>
      </c>
      <c r="B377" s="14" t="s">
        <v>872</v>
      </c>
      <c r="C377" s="32" t="s">
        <v>806</v>
      </c>
    </row>
    <row r="378" spans="1:3" x14ac:dyDescent="0.55000000000000004">
      <c r="A378" s="9" t="s">
        <v>873</v>
      </c>
      <c r="B378" s="14" t="s">
        <v>874</v>
      </c>
      <c r="C378" s="32" t="s">
        <v>806</v>
      </c>
    </row>
    <row r="379" spans="1:3" x14ac:dyDescent="0.55000000000000004">
      <c r="A379" s="9" t="s">
        <v>875</v>
      </c>
      <c r="B379" s="14" t="s">
        <v>876</v>
      </c>
      <c r="C379" s="32" t="s">
        <v>806</v>
      </c>
    </row>
    <row r="380" spans="1:3" x14ac:dyDescent="0.55000000000000004">
      <c r="A380" s="9" t="s">
        <v>877</v>
      </c>
      <c r="B380" s="14" t="s">
        <v>878</v>
      </c>
      <c r="C380" s="32" t="s">
        <v>806</v>
      </c>
    </row>
    <row r="381" spans="1:3" x14ac:dyDescent="0.55000000000000004">
      <c r="A381" s="9"/>
      <c r="B381" s="14"/>
      <c r="C381" s="32" t="s">
        <v>806</v>
      </c>
    </row>
    <row r="382" spans="1:3" x14ac:dyDescent="0.55000000000000004">
      <c r="A382" s="9" t="s">
        <v>879</v>
      </c>
      <c r="B382" s="14" t="s">
        <v>880</v>
      </c>
      <c r="C382" s="32" t="s">
        <v>806</v>
      </c>
    </row>
    <row r="383" spans="1:3" x14ac:dyDescent="0.55000000000000004">
      <c r="A383" s="9" t="s">
        <v>881</v>
      </c>
      <c r="B383" s="14" t="s">
        <v>882</v>
      </c>
      <c r="C383" s="32" t="s">
        <v>806</v>
      </c>
    </row>
    <row r="384" spans="1:3" x14ac:dyDescent="0.55000000000000004">
      <c r="A384" s="9" t="s">
        <v>883</v>
      </c>
      <c r="B384" s="14" t="s">
        <v>884</v>
      </c>
      <c r="C384" s="32" t="s">
        <v>806</v>
      </c>
    </row>
    <row r="385" spans="1:3" x14ac:dyDescent="0.55000000000000004">
      <c r="A385" s="9" t="s">
        <v>885</v>
      </c>
      <c r="B385" s="14" t="s">
        <v>886</v>
      </c>
      <c r="C385" s="32" t="s">
        <v>806</v>
      </c>
    </row>
    <row r="386" spans="1:3" x14ac:dyDescent="0.55000000000000004">
      <c r="A386" s="9"/>
      <c r="B386" s="14"/>
      <c r="C386" s="32" t="s">
        <v>806</v>
      </c>
    </row>
    <row r="387" spans="1:3" x14ac:dyDescent="0.55000000000000004">
      <c r="A387" s="9" t="s">
        <v>887</v>
      </c>
      <c r="B387" s="14" t="s">
        <v>888</v>
      </c>
      <c r="C387" s="32" t="s">
        <v>806</v>
      </c>
    </row>
    <row r="388" spans="1:3" x14ac:dyDescent="0.55000000000000004">
      <c r="A388" s="9" t="s">
        <v>889</v>
      </c>
      <c r="B388" s="14" t="s">
        <v>890</v>
      </c>
      <c r="C388" s="32" t="s">
        <v>806</v>
      </c>
    </row>
    <row r="389" spans="1:3" x14ac:dyDescent="0.55000000000000004">
      <c r="A389" s="9" t="s">
        <v>891</v>
      </c>
      <c r="B389" s="14" t="s">
        <v>892</v>
      </c>
      <c r="C389" s="32" t="s">
        <v>806</v>
      </c>
    </row>
    <row r="390" spans="1:3" x14ac:dyDescent="0.55000000000000004">
      <c r="A390" s="9" t="s">
        <v>893</v>
      </c>
      <c r="B390" s="14" t="s">
        <v>894</v>
      </c>
      <c r="C390" s="32" t="s">
        <v>806</v>
      </c>
    </row>
    <row r="391" spans="1:3" x14ac:dyDescent="0.55000000000000004">
      <c r="A391" s="9"/>
      <c r="B391" s="14"/>
      <c r="C391" s="32" t="s">
        <v>806</v>
      </c>
    </row>
    <row r="392" spans="1:3" x14ac:dyDescent="0.55000000000000004">
      <c r="A392" s="9" t="s">
        <v>895</v>
      </c>
      <c r="B392" s="14" t="s">
        <v>896</v>
      </c>
      <c r="C392" s="32" t="s">
        <v>806</v>
      </c>
    </row>
    <row r="393" spans="1:3" x14ac:dyDescent="0.55000000000000004">
      <c r="A393" s="9" t="s">
        <v>897</v>
      </c>
      <c r="B393" s="14" t="s">
        <v>898</v>
      </c>
      <c r="C393" s="32" t="s">
        <v>806</v>
      </c>
    </row>
    <row r="394" spans="1:3" x14ac:dyDescent="0.55000000000000004">
      <c r="A394" s="9" t="s">
        <v>899</v>
      </c>
      <c r="B394" s="14" t="s">
        <v>900</v>
      </c>
      <c r="C394" s="32" t="s">
        <v>806</v>
      </c>
    </row>
    <row r="395" spans="1:3" x14ac:dyDescent="0.55000000000000004">
      <c r="A395" s="9" t="s">
        <v>901</v>
      </c>
      <c r="B395" s="14" t="s">
        <v>902</v>
      </c>
      <c r="C395" s="32" t="s">
        <v>806</v>
      </c>
    </row>
    <row r="396" spans="1:3" x14ac:dyDescent="0.55000000000000004">
      <c r="A396" s="9"/>
      <c r="B396" s="14"/>
      <c r="C396" s="32" t="s">
        <v>806</v>
      </c>
    </row>
    <row r="397" spans="1:3" x14ac:dyDescent="0.55000000000000004">
      <c r="A397" s="9" t="s">
        <v>903</v>
      </c>
      <c r="B397" s="14" t="s">
        <v>904</v>
      </c>
      <c r="C397" s="32" t="s">
        <v>806</v>
      </c>
    </row>
    <row r="398" spans="1:3" x14ac:dyDescent="0.55000000000000004">
      <c r="A398" s="9" t="s">
        <v>905</v>
      </c>
      <c r="B398" s="14" t="s">
        <v>906</v>
      </c>
      <c r="C398" s="32" t="s">
        <v>806</v>
      </c>
    </row>
    <row r="399" spans="1:3" x14ac:dyDescent="0.55000000000000004">
      <c r="A399" s="9" t="s">
        <v>907</v>
      </c>
      <c r="B399" s="14" t="s">
        <v>908</v>
      </c>
      <c r="C399" s="32" t="s">
        <v>806</v>
      </c>
    </row>
    <row r="400" spans="1:3" x14ac:dyDescent="0.55000000000000004">
      <c r="A400" s="9" t="s">
        <v>909</v>
      </c>
      <c r="B400" s="14" t="s">
        <v>910</v>
      </c>
      <c r="C400" s="32" t="s">
        <v>806</v>
      </c>
    </row>
    <row r="401" spans="1:3" x14ac:dyDescent="0.55000000000000004">
      <c r="A401" s="9"/>
      <c r="B401" s="14"/>
      <c r="C401" s="32" t="s">
        <v>806</v>
      </c>
    </row>
    <row r="402" spans="1:3" x14ac:dyDescent="0.55000000000000004">
      <c r="A402" s="9" t="s">
        <v>911</v>
      </c>
      <c r="B402" s="14" t="s">
        <v>912</v>
      </c>
      <c r="C402" s="32" t="s">
        <v>806</v>
      </c>
    </row>
    <row r="403" spans="1:3" x14ac:dyDescent="0.55000000000000004">
      <c r="A403" s="9" t="s">
        <v>913</v>
      </c>
      <c r="B403" s="14" t="s">
        <v>914</v>
      </c>
      <c r="C403" s="32" t="s">
        <v>806</v>
      </c>
    </row>
    <row r="404" spans="1:3" x14ac:dyDescent="0.55000000000000004">
      <c r="A404" s="9" t="s">
        <v>915</v>
      </c>
      <c r="B404" s="14" t="s">
        <v>916</v>
      </c>
      <c r="C404" s="32" t="s">
        <v>806</v>
      </c>
    </row>
    <row r="405" spans="1:3" x14ac:dyDescent="0.55000000000000004">
      <c r="A405" s="9" t="s">
        <v>917</v>
      </c>
      <c r="B405" s="14" t="s">
        <v>918</v>
      </c>
      <c r="C405" s="32" t="s">
        <v>806</v>
      </c>
    </row>
    <row r="406" spans="1:3" x14ac:dyDescent="0.55000000000000004">
      <c r="A406" s="9"/>
      <c r="B406" s="14"/>
      <c r="C406" s="32" t="s">
        <v>806</v>
      </c>
    </row>
    <row r="407" spans="1:3" x14ac:dyDescent="0.55000000000000004">
      <c r="A407" s="9" t="s">
        <v>919</v>
      </c>
      <c r="B407" s="14" t="s">
        <v>920</v>
      </c>
      <c r="C407" s="32" t="s">
        <v>806</v>
      </c>
    </row>
    <row r="408" spans="1:3" x14ac:dyDescent="0.55000000000000004">
      <c r="A408" s="9" t="s">
        <v>921</v>
      </c>
      <c r="B408" s="14" t="s">
        <v>922</v>
      </c>
      <c r="C408" s="32" t="s">
        <v>806</v>
      </c>
    </row>
    <row r="409" spans="1:3" x14ac:dyDescent="0.55000000000000004">
      <c r="A409" s="9"/>
      <c r="B409" s="14"/>
      <c r="C409" s="32" t="s">
        <v>806</v>
      </c>
    </row>
    <row r="410" spans="1:3" x14ac:dyDescent="0.55000000000000004">
      <c r="A410" s="9" t="s">
        <v>923</v>
      </c>
      <c r="B410" s="14" t="s">
        <v>924</v>
      </c>
      <c r="C410" s="32" t="s">
        <v>806</v>
      </c>
    </row>
    <row r="411" spans="1:3" x14ac:dyDescent="0.55000000000000004">
      <c r="A411" s="9" t="s">
        <v>925</v>
      </c>
      <c r="B411" s="14" t="s">
        <v>926</v>
      </c>
      <c r="C411" s="32" t="s">
        <v>806</v>
      </c>
    </row>
    <row r="412" spans="1:3" x14ac:dyDescent="0.55000000000000004">
      <c r="A412" s="9" t="s">
        <v>927</v>
      </c>
      <c r="B412" s="14" t="s">
        <v>928</v>
      </c>
      <c r="C412" s="32" t="s">
        <v>806</v>
      </c>
    </row>
    <row r="413" spans="1:3" x14ac:dyDescent="0.55000000000000004">
      <c r="A413" s="9" t="s">
        <v>929</v>
      </c>
      <c r="B413" s="14" t="s">
        <v>930</v>
      </c>
      <c r="C413" s="32" t="s">
        <v>806</v>
      </c>
    </row>
    <row r="414" spans="1:3" x14ac:dyDescent="0.55000000000000004">
      <c r="A414" s="9"/>
      <c r="B414" s="14"/>
      <c r="C414" s="32" t="s">
        <v>806</v>
      </c>
    </row>
    <row r="415" spans="1:3" x14ac:dyDescent="0.55000000000000004">
      <c r="A415" s="9" t="s">
        <v>931</v>
      </c>
      <c r="B415" s="14" t="s">
        <v>932</v>
      </c>
      <c r="C415" s="32" t="s">
        <v>806</v>
      </c>
    </row>
    <row r="416" spans="1:3" x14ac:dyDescent="0.55000000000000004">
      <c r="A416" s="9" t="s">
        <v>933</v>
      </c>
      <c r="B416" s="14" t="s">
        <v>934</v>
      </c>
      <c r="C416" s="32" t="s">
        <v>806</v>
      </c>
    </row>
    <row r="417" spans="1:4" x14ac:dyDescent="0.55000000000000004">
      <c r="A417" s="9" t="s">
        <v>935</v>
      </c>
      <c r="B417" s="14" t="s">
        <v>936</v>
      </c>
      <c r="C417" s="32" t="s">
        <v>806</v>
      </c>
    </row>
    <row r="418" spans="1:4" x14ac:dyDescent="0.55000000000000004">
      <c r="A418" s="9" t="s">
        <v>937</v>
      </c>
      <c r="B418" s="14" t="s">
        <v>938</v>
      </c>
      <c r="C418" s="32" t="s">
        <v>806</v>
      </c>
    </row>
    <row r="419" spans="1:4" x14ac:dyDescent="0.55000000000000004">
      <c r="A419" s="9" t="s">
        <v>939</v>
      </c>
      <c r="B419" s="14" t="s">
        <v>940</v>
      </c>
      <c r="C419" s="32" t="s">
        <v>806</v>
      </c>
    </row>
    <row r="420" spans="1:4" x14ac:dyDescent="0.55000000000000004">
      <c r="A420" s="9" t="s">
        <v>941</v>
      </c>
      <c r="B420" s="14" t="s">
        <v>942</v>
      </c>
      <c r="C420" s="32" t="s">
        <v>806</v>
      </c>
    </row>
    <row r="421" spans="1:4" x14ac:dyDescent="0.55000000000000004">
      <c r="A421" s="9" t="s">
        <v>943</v>
      </c>
      <c r="B421" s="14" t="s">
        <v>944</v>
      </c>
      <c r="C421" s="32" t="s">
        <v>806</v>
      </c>
    </row>
    <row r="422" spans="1:4" x14ac:dyDescent="0.55000000000000004">
      <c r="A422" s="9" t="s">
        <v>945</v>
      </c>
      <c r="B422" s="14" t="s">
        <v>946</v>
      </c>
      <c r="C422" s="32" t="s">
        <v>806</v>
      </c>
    </row>
    <row r="423" spans="1:4" x14ac:dyDescent="0.55000000000000004">
      <c r="A423" s="9" t="s">
        <v>947</v>
      </c>
      <c r="B423" s="14" t="s">
        <v>948</v>
      </c>
      <c r="C423" s="32" t="s">
        <v>806</v>
      </c>
    </row>
    <row r="424" spans="1:4" x14ac:dyDescent="0.55000000000000004">
      <c r="A424" s="9" t="s">
        <v>949</v>
      </c>
      <c r="B424" s="14" t="s">
        <v>950</v>
      </c>
      <c r="C424" s="32" t="s">
        <v>806</v>
      </c>
    </row>
    <row r="425" spans="1:4" x14ac:dyDescent="0.55000000000000004">
      <c r="A425" s="9"/>
      <c r="B425" s="14"/>
      <c r="C425" s="32" t="s">
        <v>806</v>
      </c>
    </row>
    <row r="426" spans="1:4" ht="20.399999999999999" customHeight="1" x14ac:dyDescent="0.75">
      <c r="A426" s="10" t="s">
        <v>951</v>
      </c>
      <c r="B426" s="61"/>
      <c r="C426" s="61"/>
      <c r="D426" s="61" t="s">
        <v>952</v>
      </c>
    </row>
    <row r="427" spans="1:4" x14ac:dyDescent="0.55000000000000004">
      <c r="A427" s="9"/>
      <c r="B427" s="14"/>
      <c r="C427" s="32" t="s">
        <v>952</v>
      </c>
    </row>
    <row r="428" spans="1:4" x14ac:dyDescent="0.55000000000000004">
      <c r="A428" s="9" t="s">
        <v>953</v>
      </c>
      <c r="B428" s="14" t="s">
        <v>954</v>
      </c>
      <c r="C428" s="32" t="s">
        <v>952</v>
      </c>
    </row>
    <row r="429" spans="1:4" x14ac:dyDescent="0.55000000000000004">
      <c r="A429" s="9" t="s">
        <v>955</v>
      </c>
      <c r="B429" s="14" t="s">
        <v>956</v>
      </c>
      <c r="C429" s="32" t="s">
        <v>952</v>
      </c>
    </row>
    <row r="430" spans="1:4" x14ac:dyDescent="0.55000000000000004">
      <c r="A430" s="9" t="s">
        <v>957</v>
      </c>
      <c r="B430" s="14" t="s">
        <v>958</v>
      </c>
      <c r="C430" s="32" t="s">
        <v>952</v>
      </c>
    </row>
    <row r="431" spans="1:4" x14ac:dyDescent="0.55000000000000004">
      <c r="A431" s="9" t="s">
        <v>959</v>
      </c>
      <c r="B431" s="14" t="s">
        <v>960</v>
      </c>
      <c r="C431" s="32" t="s">
        <v>952</v>
      </c>
    </row>
    <row r="432" spans="1:4" x14ac:dyDescent="0.55000000000000004">
      <c r="A432" s="9" t="s">
        <v>961</v>
      </c>
      <c r="B432" s="14" t="s">
        <v>962</v>
      </c>
      <c r="C432" s="32" t="s">
        <v>952</v>
      </c>
    </row>
    <row r="433" spans="1:3" x14ac:dyDescent="0.55000000000000004">
      <c r="A433" s="9" t="s">
        <v>963</v>
      </c>
      <c r="B433" s="14" t="s">
        <v>964</v>
      </c>
      <c r="C433" s="32" t="s">
        <v>952</v>
      </c>
    </row>
    <row r="434" spans="1:3" x14ac:dyDescent="0.55000000000000004">
      <c r="A434" s="9"/>
      <c r="B434" s="14"/>
      <c r="C434" s="32" t="s">
        <v>952</v>
      </c>
    </row>
    <row r="435" spans="1:3" x14ac:dyDescent="0.55000000000000004">
      <c r="A435" s="9" t="s">
        <v>965</v>
      </c>
      <c r="B435" s="14" t="s">
        <v>966</v>
      </c>
      <c r="C435" s="32" t="s">
        <v>952</v>
      </c>
    </row>
    <row r="436" spans="1:3" x14ac:dyDescent="0.55000000000000004">
      <c r="A436" s="9" t="s">
        <v>967</v>
      </c>
      <c r="B436" s="14" t="s">
        <v>968</v>
      </c>
      <c r="C436" s="32" t="s">
        <v>952</v>
      </c>
    </row>
    <row r="437" spans="1:3" x14ac:dyDescent="0.55000000000000004">
      <c r="A437" s="9" t="s">
        <v>969</v>
      </c>
      <c r="B437" s="14" t="s">
        <v>970</v>
      </c>
      <c r="C437" s="32" t="s">
        <v>952</v>
      </c>
    </row>
    <row r="438" spans="1:3" x14ac:dyDescent="0.55000000000000004">
      <c r="A438" s="9"/>
      <c r="B438" s="14"/>
      <c r="C438" s="32" t="s">
        <v>952</v>
      </c>
    </row>
    <row r="439" spans="1:3" x14ac:dyDescent="0.55000000000000004">
      <c r="A439" s="9" t="s">
        <v>971</v>
      </c>
      <c r="B439" s="14" t="s">
        <v>972</v>
      </c>
      <c r="C439" s="32" t="s">
        <v>952</v>
      </c>
    </row>
    <row r="440" spans="1:3" x14ac:dyDescent="0.55000000000000004">
      <c r="A440" s="9" t="s">
        <v>973</v>
      </c>
      <c r="B440" s="14" t="s">
        <v>974</v>
      </c>
      <c r="C440" s="32" t="s">
        <v>952</v>
      </c>
    </row>
    <row r="441" spans="1:3" x14ac:dyDescent="0.55000000000000004">
      <c r="A441" s="9"/>
      <c r="B441" s="14"/>
      <c r="C441" s="32" t="s">
        <v>952</v>
      </c>
    </row>
    <row r="442" spans="1:3" x14ac:dyDescent="0.55000000000000004">
      <c r="A442" s="9" t="s">
        <v>975</v>
      </c>
      <c r="B442" s="14" t="s">
        <v>976</v>
      </c>
      <c r="C442" s="32" t="s">
        <v>952</v>
      </c>
    </row>
    <row r="443" spans="1:3" x14ac:dyDescent="0.55000000000000004">
      <c r="A443" s="9" t="s">
        <v>977</v>
      </c>
      <c r="B443" s="14" t="s">
        <v>978</v>
      </c>
      <c r="C443" s="32" t="s">
        <v>952</v>
      </c>
    </row>
    <row r="444" spans="1:3" x14ac:dyDescent="0.55000000000000004">
      <c r="A444" s="9"/>
      <c r="B444" s="14"/>
      <c r="C444" s="32" t="s">
        <v>952</v>
      </c>
    </row>
    <row r="445" spans="1:3" x14ac:dyDescent="0.55000000000000004">
      <c r="A445" s="9" t="s">
        <v>979</v>
      </c>
      <c r="B445" s="14" t="s">
        <v>980</v>
      </c>
      <c r="C445" s="32" t="s">
        <v>952</v>
      </c>
    </row>
    <row r="446" spans="1:3" x14ac:dyDescent="0.55000000000000004">
      <c r="A446" s="9" t="s">
        <v>981</v>
      </c>
      <c r="B446" s="14" t="s">
        <v>982</v>
      </c>
      <c r="C446" s="32" t="s">
        <v>952</v>
      </c>
    </row>
    <row r="447" spans="1:3" x14ac:dyDescent="0.55000000000000004">
      <c r="A447" s="9" t="s">
        <v>983</v>
      </c>
      <c r="B447" s="14" t="s">
        <v>984</v>
      </c>
      <c r="C447" s="32" t="s">
        <v>952</v>
      </c>
    </row>
    <row r="448" spans="1:3" x14ac:dyDescent="0.55000000000000004">
      <c r="A448" s="9" t="s">
        <v>985</v>
      </c>
      <c r="B448" s="14" t="s">
        <v>986</v>
      </c>
      <c r="C448" s="32" t="s">
        <v>952</v>
      </c>
    </row>
    <row r="449" spans="1:3" x14ac:dyDescent="0.55000000000000004">
      <c r="A449" s="9" t="s">
        <v>987</v>
      </c>
      <c r="B449" s="14" t="s">
        <v>988</v>
      </c>
      <c r="C449" s="32" t="s">
        <v>952</v>
      </c>
    </row>
    <row r="450" spans="1:3" x14ac:dyDescent="0.55000000000000004">
      <c r="A450" s="9" t="s">
        <v>989</v>
      </c>
      <c r="B450" s="14" t="s">
        <v>990</v>
      </c>
      <c r="C450" s="32" t="s">
        <v>952</v>
      </c>
    </row>
    <row r="451" spans="1:3" x14ac:dyDescent="0.55000000000000004">
      <c r="A451" s="9" t="s">
        <v>991</v>
      </c>
      <c r="B451" s="14" t="s">
        <v>992</v>
      </c>
      <c r="C451" s="32" t="s">
        <v>952</v>
      </c>
    </row>
    <row r="452" spans="1:3" x14ac:dyDescent="0.55000000000000004">
      <c r="A452" s="9"/>
      <c r="B452" s="14"/>
      <c r="C452" s="32" t="s">
        <v>952</v>
      </c>
    </row>
    <row r="453" spans="1:3" x14ac:dyDescent="0.55000000000000004">
      <c r="A453" s="9" t="s">
        <v>993</v>
      </c>
      <c r="B453" s="14" t="s">
        <v>994</v>
      </c>
      <c r="C453" s="32" t="s">
        <v>952</v>
      </c>
    </row>
    <row r="454" spans="1:3" x14ac:dyDescent="0.55000000000000004">
      <c r="A454" s="9" t="s">
        <v>995</v>
      </c>
      <c r="B454" s="14" t="s">
        <v>996</v>
      </c>
      <c r="C454" s="32" t="s">
        <v>952</v>
      </c>
    </row>
    <row r="455" spans="1:3" x14ac:dyDescent="0.55000000000000004">
      <c r="A455" s="9" t="s">
        <v>997</v>
      </c>
      <c r="B455" s="14" t="s">
        <v>998</v>
      </c>
      <c r="C455" s="32" t="s">
        <v>952</v>
      </c>
    </row>
    <row r="456" spans="1:3" x14ac:dyDescent="0.55000000000000004">
      <c r="A456" s="9" t="s">
        <v>999</v>
      </c>
      <c r="B456" s="14" t="s">
        <v>1000</v>
      </c>
      <c r="C456" s="32" t="s">
        <v>952</v>
      </c>
    </row>
    <row r="457" spans="1:3" x14ac:dyDescent="0.55000000000000004">
      <c r="A457" s="9"/>
      <c r="B457" s="14"/>
      <c r="C457" s="32" t="s">
        <v>952</v>
      </c>
    </row>
    <row r="458" spans="1:3" x14ac:dyDescent="0.55000000000000004">
      <c r="A458" s="9" t="s">
        <v>1001</v>
      </c>
      <c r="B458" s="14" t="s">
        <v>1002</v>
      </c>
      <c r="C458" s="32" t="s">
        <v>952</v>
      </c>
    </row>
    <row r="459" spans="1:3" x14ac:dyDescent="0.55000000000000004">
      <c r="A459" s="9" t="s">
        <v>1003</v>
      </c>
      <c r="B459" s="14" t="s">
        <v>1004</v>
      </c>
      <c r="C459" s="32" t="s">
        <v>952</v>
      </c>
    </row>
    <row r="460" spans="1:3" x14ac:dyDescent="0.55000000000000004">
      <c r="A460" s="9" t="s">
        <v>1005</v>
      </c>
      <c r="B460" s="14" t="s">
        <v>1006</v>
      </c>
      <c r="C460" s="32" t="s">
        <v>952</v>
      </c>
    </row>
    <row r="461" spans="1:3" x14ac:dyDescent="0.55000000000000004">
      <c r="A461" s="9" t="s">
        <v>1007</v>
      </c>
      <c r="B461" s="14" t="s">
        <v>1008</v>
      </c>
      <c r="C461" s="32" t="s">
        <v>952</v>
      </c>
    </row>
    <row r="462" spans="1:3" x14ac:dyDescent="0.55000000000000004">
      <c r="A462" s="9" t="s">
        <v>1009</v>
      </c>
      <c r="B462" s="14" t="s">
        <v>1010</v>
      </c>
      <c r="C462" s="32" t="s">
        <v>952</v>
      </c>
    </row>
    <row r="463" spans="1:3" x14ac:dyDescent="0.55000000000000004">
      <c r="A463" s="9" t="s">
        <v>1011</v>
      </c>
      <c r="B463" s="14" t="s">
        <v>1012</v>
      </c>
      <c r="C463" s="32" t="s">
        <v>952</v>
      </c>
    </row>
    <row r="464" spans="1:3" x14ac:dyDescent="0.55000000000000004">
      <c r="A464" s="9"/>
      <c r="B464" s="14"/>
      <c r="C464" s="32" t="s">
        <v>952</v>
      </c>
    </row>
    <row r="465" spans="1:3" x14ac:dyDescent="0.55000000000000004">
      <c r="A465" s="9" t="s">
        <v>1013</v>
      </c>
      <c r="B465" s="14" t="s">
        <v>1014</v>
      </c>
      <c r="C465" s="32" t="s">
        <v>952</v>
      </c>
    </row>
    <row r="466" spans="1:3" x14ac:dyDescent="0.55000000000000004">
      <c r="A466" s="9" t="s">
        <v>1015</v>
      </c>
      <c r="B466" s="14" t="s">
        <v>1016</v>
      </c>
      <c r="C466" s="32" t="s">
        <v>952</v>
      </c>
    </row>
    <row r="467" spans="1:3" x14ac:dyDescent="0.55000000000000004">
      <c r="A467" s="9" t="s">
        <v>1017</v>
      </c>
      <c r="B467" s="14" t="s">
        <v>1018</v>
      </c>
      <c r="C467" s="32" t="s">
        <v>952</v>
      </c>
    </row>
    <row r="468" spans="1:3" x14ac:dyDescent="0.55000000000000004">
      <c r="A468" s="9" t="s">
        <v>1019</v>
      </c>
      <c r="B468" s="14" t="s">
        <v>1020</v>
      </c>
      <c r="C468" s="32" t="s">
        <v>952</v>
      </c>
    </row>
    <row r="469" spans="1:3" x14ac:dyDescent="0.55000000000000004">
      <c r="A469" s="9" t="s">
        <v>1021</v>
      </c>
      <c r="B469" s="14" t="s">
        <v>1022</v>
      </c>
      <c r="C469" s="32" t="s">
        <v>952</v>
      </c>
    </row>
    <row r="470" spans="1:3" x14ac:dyDescent="0.55000000000000004">
      <c r="A470" s="9" t="s">
        <v>1023</v>
      </c>
      <c r="B470" s="14" t="s">
        <v>1024</v>
      </c>
      <c r="C470" s="32" t="s">
        <v>952</v>
      </c>
    </row>
    <row r="471" spans="1:3" x14ac:dyDescent="0.55000000000000004">
      <c r="A471" s="9"/>
      <c r="B471" s="14"/>
      <c r="C471" s="32" t="s">
        <v>952</v>
      </c>
    </row>
    <row r="472" spans="1:3" x14ac:dyDescent="0.55000000000000004">
      <c r="A472" s="9" t="s">
        <v>1025</v>
      </c>
      <c r="B472" s="14" t="s">
        <v>1026</v>
      </c>
      <c r="C472" s="32" t="s">
        <v>952</v>
      </c>
    </row>
    <row r="473" spans="1:3" x14ac:dyDescent="0.55000000000000004">
      <c r="A473" s="9"/>
      <c r="B473" s="14"/>
      <c r="C473" s="32" t="s">
        <v>952</v>
      </c>
    </row>
    <row r="474" spans="1:3" x14ac:dyDescent="0.55000000000000004">
      <c r="A474" s="9"/>
      <c r="B474" s="14"/>
      <c r="C474" s="32" t="s">
        <v>952</v>
      </c>
    </row>
    <row r="475" spans="1:3" x14ac:dyDescent="0.55000000000000004">
      <c r="A475" s="9" t="s">
        <v>1027</v>
      </c>
      <c r="B475" s="14" t="s">
        <v>1028</v>
      </c>
      <c r="C475" s="32" t="s">
        <v>952</v>
      </c>
    </row>
    <row r="476" spans="1:3" x14ac:dyDescent="0.55000000000000004">
      <c r="A476" s="9" t="s">
        <v>1029</v>
      </c>
      <c r="B476" s="14" t="s">
        <v>1030</v>
      </c>
      <c r="C476" s="32" t="s">
        <v>952</v>
      </c>
    </row>
    <row r="477" spans="1:3" x14ac:dyDescent="0.55000000000000004">
      <c r="A477" s="9"/>
      <c r="B477" s="14"/>
      <c r="C477" s="32" t="s">
        <v>952</v>
      </c>
    </row>
    <row r="478" spans="1:3" x14ac:dyDescent="0.55000000000000004">
      <c r="A478" s="9" t="s">
        <v>1031</v>
      </c>
      <c r="B478" s="14" t="s">
        <v>1032</v>
      </c>
      <c r="C478" s="32" t="s">
        <v>952</v>
      </c>
    </row>
    <row r="479" spans="1:3" x14ac:dyDescent="0.55000000000000004">
      <c r="A479" s="9"/>
      <c r="B479" s="14"/>
      <c r="C479" s="32" t="s">
        <v>952</v>
      </c>
    </row>
    <row r="480" spans="1:3" x14ac:dyDescent="0.55000000000000004">
      <c r="A480" s="9" t="s">
        <v>1033</v>
      </c>
      <c r="B480" s="14" t="s">
        <v>1034</v>
      </c>
      <c r="C480" s="32" t="s">
        <v>952</v>
      </c>
    </row>
    <row r="481" spans="1:4" x14ac:dyDescent="0.55000000000000004">
      <c r="A481" s="9" t="s">
        <v>1035</v>
      </c>
      <c r="B481" s="14" t="s">
        <v>1036</v>
      </c>
      <c r="C481" s="32" t="s">
        <v>952</v>
      </c>
    </row>
    <row r="482" spans="1:4" x14ac:dyDescent="0.55000000000000004">
      <c r="A482" s="9" t="s">
        <v>1037</v>
      </c>
      <c r="B482" s="14" t="s">
        <v>1038</v>
      </c>
      <c r="C482" s="32" t="s">
        <v>952</v>
      </c>
    </row>
    <row r="483" spans="1:4" x14ac:dyDescent="0.55000000000000004">
      <c r="A483" s="9"/>
      <c r="B483" s="14"/>
      <c r="C483" s="32" t="s">
        <v>952</v>
      </c>
    </row>
    <row r="484" spans="1:4" x14ac:dyDescent="0.55000000000000004">
      <c r="A484" s="9" t="s">
        <v>1039</v>
      </c>
      <c r="B484" s="14" t="s">
        <v>1040</v>
      </c>
      <c r="C484" s="32" t="s">
        <v>952</v>
      </c>
    </row>
    <row r="485" spans="1:4" x14ac:dyDescent="0.55000000000000004">
      <c r="A485" s="9" t="s">
        <v>1041</v>
      </c>
      <c r="B485" s="14" t="s">
        <v>1042</v>
      </c>
      <c r="C485" s="32" t="s">
        <v>952</v>
      </c>
    </row>
    <row r="486" spans="1:4" x14ac:dyDescent="0.55000000000000004">
      <c r="A486" s="9" t="s">
        <v>1043</v>
      </c>
      <c r="B486" s="14" t="s">
        <v>1044</v>
      </c>
      <c r="C486" s="32" t="s">
        <v>952</v>
      </c>
    </row>
    <row r="487" spans="1:4" x14ac:dyDescent="0.55000000000000004">
      <c r="A487" s="9" t="s">
        <v>1045</v>
      </c>
      <c r="B487" s="14" t="s">
        <v>1046</v>
      </c>
      <c r="C487" s="32" t="s">
        <v>952</v>
      </c>
    </row>
    <row r="488" spans="1:4" x14ac:dyDescent="0.55000000000000004">
      <c r="A488" s="9" t="s">
        <v>1047</v>
      </c>
      <c r="B488" s="14" t="s">
        <v>1048</v>
      </c>
      <c r="C488" s="32" t="s">
        <v>952</v>
      </c>
    </row>
    <row r="489" spans="1:4" x14ac:dyDescent="0.55000000000000004">
      <c r="A489" s="9"/>
      <c r="B489" s="14"/>
      <c r="C489" s="32" t="s">
        <v>952</v>
      </c>
    </row>
    <row r="490" spans="1:4" x14ac:dyDescent="0.55000000000000004">
      <c r="A490" s="9" t="s">
        <v>1049</v>
      </c>
      <c r="B490" s="14" t="s">
        <v>1050</v>
      </c>
      <c r="C490" s="32" t="s">
        <v>952</v>
      </c>
    </row>
    <row r="491" spans="1:4" x14ac:dyDescent="0.55000000000000004">
      <c r="A491" s="9" t="s">
        <v>1051</v>
      </c>
      <c r="B491" s="14" t="s">
        <v>1052</v>
      </c>
      <c r="C491" s="32" t="s">
        <v>952</v>
      </c>
    </row>
    <row r="492" spans="1:4" x14ac:dyDescent="0.55000000000000004">
      <c r="A492" s="9" t="s">
        <v>1053</v>
      </c>
      <c r="B492" s="14" t="s">
        <v>1054</v>
      </c>
      <c r="C492" s="32" t="s">
        <v>952</v>
      </c>
    </row>
    <row r="493" spans="1:4" x14ac:dyDescent="0.55000000000000004">
      <c r="A493" s="9" t="s">
        <v>1055</v>
      </c>
      <c r="B493" s="14" t="s">
        <v>1056</v>
      </c>
      <c r="C493" s="32" t="s">
        <v>952</v>
      </c>
    </row>
    <row r="494" spans="1:4" x14ac:dyDescent="0.55000000000000004">
      <c r="A494" s="9" t="s">
        <v>1057</v>
      </c>
      <c r="B494" s="14" t="s">
        <v>1058</v>
      </c>
      <c r="C494" s="32" t="s">
        <v>952</v>
      </c>
    </row>
    <row r="495" spans="1:4" x14ac:dyDescent="0.55000000000000004">
      <c r="A495" s="9"/>
      <c r="B495" s="14"/>
      <c r="C495" s="32" t="s">
        <v>952</v>
      </c>
    </row>
    <row r="496" spans="1:4" ht="20.399999999999999" customHeight="1" x14ac:dyDescent="0.75">
      <c r="A496" s="10" t="s">
        <v>1059</v>
      </c>
      <c r="B496" s="61"/>
      <c r="C496" s="61"/>
      <c r="D496" s="61" t="s">
        <v>1060</v>
      </c>
    </row>
    <row r="497" spans="1:4" x14ac:dyDescent="0.55000000000000004">
      <c r="A497" s="9" t="s">
        <v>1061</v>
      </c>
      <c r="B497" s="14" t="s">
        <v>1062</v>
      </c>
      <c r="C497" s="32" t="s">
        <v>1060</v>
      </c>
    </row>
    <row r="498" spans="1:4" x14ac:dyDescent="0.55000000000000004">
      <c r="A498" s="9" t="s">
        <v>1063</v>
      </c>
      <c r="B498" s="14" t="s">
        <v>1064</v>
      </c>
      <c r="C498" s="32" t="s">
        <v>1060</v>
      </c>
    </row>
    <row r="499" spans="1:4" x14ac:dyDescent="0.55000000000000004">
      <c r="A499" s="9" t="s">
        <v>1065</v>
      </c>
      <c r="B499" s="14" t="s">
        <v>1066</v>
      </c>
      <c r="C499" s="32" t="s">
        <v>1060</v>
      </c>
    </row>
    <row r="500" spans="1:4" ht="20.399999999999999" customHeight="1" x14ac:dyDescent="0.75">
      <c r="A500" s="10" t="s">
        <v>1067</v>
      </c>
      <c r="B500" s="61"/>
      <c r="C500" s="61"/>
      <c r="D500" s="61" t="s">
        <v>625</v>
      </c>
    </row>
    <row r="501" spans="1:4" x14ac:dyDescent="0.55000000000000004">
      <c r="A501" s="9" t="s">
        <v>1068</v>
      </c>
      <c r="B501" s="14" t="s">
        <v>1069</v>
      </c>
      <c r="C501" s="32" t="s">
        <v>625</v>
      </c>
    </row>
    <row r="502" spans="1:4" x14ac:dyDescent="0.55000000000000004">
      <c r="A502" s="9" t="s">
        <v>1070</v>
      </c>
      <c r="B502" s="14" t="s">
        <v>1071</v>
      </c>
      <c r="C502" s="32" t="s">
        <v>625</v>
      </c>
    </row>
    <row r="503" spans="1:4" x14ac:dyDescent="0.55000000000000004">
      <c r="A503" s="9" t="s">
        <v>1072</v>
      </c>
      <c r="B503" s="14" t="s">
        <v>1073</v>
      </c>
      <c r="C503" s="32" t="s">
        <v>625</v>
      </c>
    </row>
    <row r="504" spans="1:4" x14ac:dyDescent="0.55000000000000004">
      <c r="A504" s="9"/>
      <c r="B504" s="14"/>
      <c r="C504" s="32" t="s">
        <v>625</v>
      </c>
    </row>
    <row r="505" spans="1:4" x14ac:dyDescent="0.55000000000000004">
      <c r="A505" s="9" t="s">
        <v>1074</v>
      </c>
      <c r="B505" s="14" t="s">
        <v>1075</v>
      </c>
      <c r="C505" s="32" t="s">
        <v>625</v>
      </c>
    </row>
    <row r="506" spans="1:4" x14ac:dyDescent="0.55000000000000004">
      <c r="A506" s="9"/>
      <c r="B506" s="14"/>
      <c r="C506" s="32" t="s">
        <v>625</v>
      </c>
    </row>
    <row r="507" spans="1:4" x14ac:dyDescent="0.55000000000000004">
      <c r="A507" s="9" t="s">
        <v>1076</v>
      </c>
      <c r="B507" s="14" t="s">
        <v>1077</v>
      </c>
      <c r="C507" s="32" t="s">
        <v>625</v>
      </c>
    </row>
    <row r="508" spans="1:4" x14ac:dyDescent="0.55000000000000004">
      <c r="A508" s="9" t="s">
        <v>1078</v>
      </c>
      <c r="B508" s="14" t="s">
        <v>1079</v>
      </c>
      <c r="C508" s="32" t="s">
        <v>625</v>
      </c>
    </row>
    <row r="509" spans="1:4" x14ac:dyDescent="0.55000000000000004">
      <c r="A509" s="9" t="s">
        <v>1080</v>
      </c>
      <c r="B509" s="14" t="s">
        <v>1081</v>
      </c>
      <c r="C509" s="32" t="s">
        <v>625</v>
      </c>
    </row>
    <row r="510" spans="1:4" x14ac:dyDescent="0.55000000000000004">
      <c r="A510" s="9" t="s">
        <v>1082</v>
      </c>
      <c r="B510" s="14" t="s">
        <v>1083</v>
      </c>
      <c r="C510" s="32" t="s">
        <v>625</v>
      </c>
    </row>
    <row r="511" spans="1:4" x14ac:dyDescent="0.55000000000000004">
      <c r="A511" s="9" t="s">
        <v>1084</v>
      </c>
      <c r="B511" s="14" t="s">
        <v>1085</v>
      </c>
      <c r="C511" s="32" t="s">
        <v>625</v>
      </c>
    </row>
    <row r="512" spans="1:4" x14ac:dyDescent="0.55000000000000004">
      <c r="A512" s="9" t="s">
        <v>1086</v>
      </c>
      <c r="B512" s="14" t="s">
        <v>1087</v>
      </c>
      <c r="C512" s="32" t="s">
        <v>625</v>
      </c>
    </row>
    <row r="513" spans="1:3" x14ac:dyDescent="0.55000000000000004">
      <c r="A513" s="9" t="s">
        <v>1088</v>
      </c>
      <c r="B513" s="14" t="s">
        <v>1089</v>
      </c>
      <c r="C513" s="32" t="s">
        <v>625</v>
      </c>
    </row>
    <row r="514" spans="1:3" x14ac:dyDescent="0.55000000000000004">
      <c r="A514" s="9"/>
      <c r="B514" s="14"/>
      <c r="C514" s="32" t="s">
        <v>625</v>
      </c>
    </row>
    <row r="515" spans="1:3" x14ac:dyDescent="0.55000000000000004">
      <c r="A515" s="9" t="s">
        <v>1090</v>
      </c>
      <c r="B515" s="14" t="s">
        <v>1091</v>
      </c>
      <c r="C515" s="32" t="s">
        <v>625</v>
      </c>
    </row>
    <row r="516" spans="1:3" x14ac:dyDescent="0.55000000000000004">
      <c r="A516" s="9" t="s">
        <v>1092</v>
      </c>
      <c r="B516" s="14" t="s">
        <v>1093</v>
      </c>
      <c r="C516" s="32" t="s">
        <v>625</v>
      </c>
    </row>
    <row r="517" spans="1:3" x14ac:dyDescent="0.55000000000000004">
      <c r="A517" s="9" t="s">
        <v>1094</v>
      </c>
      <c r="B517" s="14" t="s">
        <v>1095</v>
      </c>
      <c r="C517" s="32" t="s">
        <v>625</v>
      </c>
    </row>
    <row r="518" spans="1:3" x14ac:dyDescent="0.55000000000000004">
      <c r="A518" s="9" t="s">
        <v>1096</v>
      </c>
      <c r="B518" s="14" t="s">
        <v>1097</v>
      </c>
      <c r="C518" s="32" t="s">
        <v>625</v>
      </c>
    </row>
    <row r="519" spans="1:3" x14ac:dyDescent="0.55000000000000004">
      <c r="A519" s="9"/>
      <c r="B519" s="14"/>
      <c r="C519" s="32" t="s">
        <v>625</v>
      </c>
    </row>
    <row r="520" spans="1:3" x14ac:dyDescent="0.55000000000000004">
      <c r="A520" s="9" t="s">
        <v>1098</v>
      </c>
      <c r="B520" s="14" t="s">
        <v>1099</v>
      </c>
      <c r="C520" s="32" t="s">
        <v>625</v>
      </c>
    </row>
    <row r="521" spans="1:3" x14ac:dyDescent="0.55000000000000004">
      <c r="A521" s="9" t="s">
        <v>1100</v>
      </c>
      <c r="B521" s="14" t="s">
        <v>1101</v>
      </c>
      <c r="C521" s="32" t="s">
        <v>625</v>
      </c>
    </row>
    <row r="522" spans="1:3" x14ac:dyDescent="0.55000000000000004">
      <c r="A522" s="9" t="s">
        <v>1102</v>
      </c>
      <c r="B522" s="14" t="s">
        <v>1103</v>
      </c>
      <c r="C522" s="32" t="s">
        <v>625</v>
      </c>
    </row>
    <row r="523" spans="1:3" x14ac:dyDescent="0.55000000000000004">
      <c r="A523" s="9"/>
      <c r="B523" s="14"/>
      <c r="C523" s="32" t="s">
        <v>625</v>
      </c>
    </row>
    <row r="524" spans="1:3" x14ac:dyDescent="0.55000000000000004">
      <c r="A524" s="9" t="s">
        <v>1104</v>
      </c>
      <c r="B524" s="14" t="s">
        <v>1105</v>
      </c>
      <c r="C524" s="32" t="s">
        <v>625</v>
      </c>
    </row>
    <row r="525" spans="1:3" x14ac:dyDescent="0.55000000000000004">
      <c r="A525" s="9" t="s">
        <v>1106</v>
      </c>
      <c r="B525" s="14" t="s">
        <v>1107</v>
      </c>
      <c r="C525" s="32" t="s">
        <v>625</v>
      </c>
    </row>
    <row r="526" spans="1:3" x14ac:dyDescent="0.55000000000000004">
      <c r="A526" s="9"/>
      <c r="B526" s="14"/>
      <c r="C526" s="32" t="s">
        <v>625</v>
      </c>
    </row>
    <row r="527" spans="1:3" x14ac:dyDescent="0.55000000000000004">
      <c r="A527" s="9" t="s">
        <v>1108</v>
      </c>
      <c r="B527" s="14" t="s">
        <v>1109</v>
      </c>
      <c r="C527" s="32" t="s">
        <v>625</v>
      </c>
    </row>
    <row r="528" spans="1:3" x14ac:dyDescent="0.55000000000000004">
      <c r="A528" s="9" t="s">
        <v>1110</v>
      </c>
      <c r="B528" s="14" t="s">
        <v>1111</v>
      </c>
      <c r="C528" s="32" t="s">
        <v>625</v>
      </c>
    </row>
    <row r="529" spans="1:4" x14ac:dyDescent="0.55000000000000004">
      <c r="A529" s="9"/>
      <c r="B529" s="14"/>
      <c r="C529" s="32" t="s">
        <v>625</v>
      </c>
    </row>
    <row r="530" spans="1:4" ht="20.399999999999999" customHeight="1" x14ac:dyDescent="0.75">
      <c r="A530" s="10" t="s">
        <v>1112</v>
      </c>
      <c r="B530" s="61"/>
      <c r="C530" s="61"/>
    </row>
    <row r="531" spans="1:4" x14ac:dyDescent="0.55000000000000004">
      <c r="A531" s="9"/>
      <c r="B531" s="14"/>
      <c r="C531" s="14"/>
    </row>
    <row r="532" spans="1:4" ht="20.399999999999999" customHeight="1" x14ac:dyDescent="0.75">
      <c r="A532" s="10" t="s">
        <v>1113</v>
      </c>
      <c r="B532" s="61"/>
      <c r="C532" s="61"/>
      <c r="D532" s="61" t="s">
        <v>1114</v>
      </c>
    </row>
    <row r="533" spans="1:4" x14ac:dyDescent="0.55000000000000004">
      <c r="A533" s="9"/>
      <c r="B533" s="14"/>
      <c r="C533" s="32" t="s">
        <v>1114</v>
      </c>
    </row>
    <row r="534" spans="1:4" x14ac:dyDescent="0.55000000000000004">
      <c r="A534" s="9" t="s">
        <v>1115</v>
      </c>
      <c r="B534" s="14" t="s">
        <v>1116</v>
      </c>
      <c r="C534" s="32" t="s">
        <v>1114</v>
      </c>
    </row>
    <row r="535" spans="1:4" x14ac:dyDescent="0.55000000000000004">
      <c r="A535" s="9" t="s">
        <v>1117</v>
      </c>
      <c r="B535" s="14" t="s">
        <v>1118</v>
      </c>
      <c r="C535" s="32" t="s">
        <v>1114</v>
      </c>
    </row>
    <row r="536" spans="1:4" x14ac:dyDescent="0.55000000000000004">
      <c r="A536" s="9"/>
      <c r="B536" s="14"/>
      <c r="C536" s="32" t="s">
        <v>1114</v>
      </c>
    </row>
    <row r="537" spans="1:4" x14ac:dyDescent="0.55000000000000004">
      <c r="A537" s="9" t="s">
        <v>1119</v>
      </c>
      <c r="B537" s="14" t="s">
        <v>1120</v>
      </c>
      <c r="C537" s="32" t="s">
        <v>1114</v>
      </c>
    </row>
    <row r="538" spans="1:4" x14ac:dyDescent="0.55000000000000004">
      <c r="A538" s="9" t="s">
        <v>1121</v>
      </c>
      <c r="B538" s="14" t="s">
        <v>1122</v>
      </c>
      <c r="C538" s="32" t="s">
        <v>1114</v>
      </c>
    </row>
    <row r="539" spans="1:4" x14ac:dyDescent="0.55000000000000004">
      <c r="A539" s="9" t="s">
        <v>1123</v>
      </c>
      <c r="B539" s="14" t="s">
        <v>1124</v>
      </c>
      <c r="C539" s="32" t="s">
        <v>1114</v>
      </c>
    </row>
    <row r="540" spans="1:4" x14ac:dyDescent="0.55000000000000004">
      <c r="A540" s="9"/>
      <c r="B540" s="14"/>
      <c r="C540" s="32" t="s">
        <v>1114</v>
      </c>
    </row>
    <row r="541" spans="1:4" x14ac:dyDescent="0.55000000000000004">
      <c r="A541" s="9" t="s">
        <v>1125</v>
      </c>
      <c r="B541" s="14" t="s">
        <v>1126</v>
      </c>
      <c r="C541" s="32" t="s">
        <v>1114</v>
      </c>
    </row>
    <row r="542" spans="1:4" x14ac:dyDescent="0.55000000000000004">
      <c r="A542" s="9" t="s">
        <v>1127</v>
      </c>
      <c r="B542" s="14" t="s">
        <v>1128</v>
      </c>
      <c r="C542" s="32" t="s">
        <v>1114</v>
      </c>
    </row>
    <row r="543" spans="1:4" x14ac:dyDescent="0.55000000000000004">
      <c r="A543" s="9" t="s">
        <v>1129</v>
      </c>
      <c r="B543" s="14" t="s">
        <v>1130</v>
      </c>
      <c r="C543" s="32" t="s">
        <v>1114</v>
      </c>
    </row>
    <row r="544" spans="1:4" x14ac:dyDescent="0.55000000000000004">
      <c r="A544" s="9"/>
      <c r="B544" s="14"/>
      <c r="C544" s="32" t="s">
        <v>1114</v>
      </c>
    </row>
    <row r="545" spans="1:4" x14ac:dyDescent="0.55000000000000004">
      <c r="A545" s="9"/>
      <c r="B545" s="14"/>
      <c r="C545" s="32" t="s">
        <v>1114</v>
      </c>
    </row>
    <row r="546" spans="1:4" x14ac:dyDescent="0.55000000000000004">
      <c r="A546" s="8"/>
      <c r="B546" s="13"/>
      <c r="C546" s="13"/>
    </row>
    <row r="548" spans="1:4" ht="20.399999999999999" customHeight="1" x14ac:dyDescent="0.75">
      <c r="A548" s="10" t="s">
        <v>1131</v>
      </c>
      <c r="B548" s="61"/>
      <c r="C548" s="61"/>
      <c r="D548" s="61" t="s">
        <v>1132</v>
      </c>
    </row>
    <row r="549" spans="1:4" x14ac:dyDescent="0.55000000000000004">
      <c r="A549" s="9"/>
      <c r="B549" s="14"/>
      <c r="C549" s="32" t="s">
        <v>1132</v>
      </c>
    </row>
    <row r="550" spans="1:4" x14ac:dyDescent="0.55000000000000004">
      <c r="A550" s="9" t="s">
        <v>1133</v>
      </c>
      <c r="B550" s="14" t="s">
        <v>1134</v>
      </c>
      <c r="C550" s="32" t="s">
        <v>1132</v>
      </c>
    </row>
    <row r="551" spans="1:4" x14ac:dyDescent="0.55000000000000004">
      <c r="A551" s="9" t="s">
        <v>1135</v>
      </c>
      <c r="B551" s="14" t="s">
        <v>1135</v>
      </c>
      <c r="C551" s="32" t="s">
        <v>1132</v>
      </c>
    </row>
    <row r="552" spans="1:4" x14ac:dyDescent="0.55000000000000004">
      <c r="A552" s="9" t="s">
        <v>1136</v>
      </c>
      <c r="B552" s="14" t="s">
        <v>1137</v>
      </c>
      <c r="C552" s="32" t="s">
        <v>1132</v>
      </c>
    </row>
    <row r="553" spans="1:4" x14ac:dyDescent="0.55000000000000004">
      <c r="A553" s="9" t="s">
        <v>1138</v>
      </c>
      <c r="B553" s="14" t="s">
        <v>1139</v>
      </c>
      <c r="C553" s="32" t="s">
        <v>1132</v>
      </c>
    </row>
    <row r="554" spans="1:4" x14ac:dyDescent="0.55000000000000004">
      <c r="A554" s="9" t="s">
        <v>1135</v>
      </c>
      <c r="B554" s="14" t="s">
        <v>1135</v>
      </c>
      <c r="C554" s="32" t="s">
        <v>1132</v>
      </c>
    </row>
    <row r="555" spans="1:4" x14ac:dyDescent="0.55000000000000004">
      <c r="A555" s="9"/>
      <c r="B555" s="14" t="s">
        <v>1140</v>
      </c>
      <c r="C555" s="32" t="s">
        <v>1132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N457"/>
  <sheetViews>
    <sheetView topLeftCell="B1" workbookViewId="0">
      <pane ySplit="1" topLeftCell="A2" activePane="bottomLeft" state="frozen"/>
      <selection pane="bottomLeft" activeCell="D3" sqref="D3"/>
    </sheetView>
  </sheetViews>
  <sheetFormatPr defaultColWidth="8.83984375" defaultRowHeight="14.4" x14ac:dyDescent="0.55000000000000004"/>
  <cols>
    <col min="1" max="1" width="36.68359375" style="99" customWidth="1"/>
    <col min="2" max="2" width="39.26171875" style="99" customWidth="1"/>
    <col min="3" max="3" width="7" style="99" bestFit="1" customWidth="1"/>
    <col min="4" max="4" width="5.578125" style="99" bestFit="1" customWidth="1"/>
    <col min="5" max="5" width="9" style="99" bestFit="1" customWidth="1"/>
    <col min="6" max="6" width="9" style="99" customWidth="1"/>
    <col min="7" max="7" width="43.41796875" style="99" bestFit="1" customWidth="1"/>
    <col min="8" max="8" width="7" style="99" bestFit="1" customWidth="1"/>
    <col min="9" max="9" width="6.15625" style="99" bestFit="1" customWidth="1"/>
    <col min="10" max="10" width="5.15625" style="99" bestFit="1" customWidth="1"/>
    <col min="11" max="11" width="42" style="99" bestFit="1" customWidth="1"/>
    <col min="12" max="13" width="8.83984375" style="99" customWidth="1"/>
    <col min="14" max="14" width="14.578125" style="99" bestFit="1" customWidth="1"/>
    <col min="15" max="15" width="8.83984375" style="103" customWidth="1"/>
    <col min="16" max="16384" width="8.83984375" style="103"/>
  </cols>
  <sheetData>
    <row r="1" spans="1:14" s="98" customFormat="1" ht="43.2" customHeight="1" x14ac:dyDescent="0.55000000000000004">
      <c r="A1" s="96" t="s">
        <v>1141</v>
      </c>
      <c r="B1" s="96" t="s">
        <v>1142</v>
      </c>
      <c r="C1" s="96" t="s">
        <v>1143</v>
      </c>
      <c r="D1" s="96" t="s">
        <v>66</v>
      </c>
      <c r="E1" s="97" t="s">
        <v>1144</v>
      </c>
      <c r="F1" s="97" t="s">
        <v>1145</v>
      </c>
      <c r="G1" s="96" t="s">
        <v>1146</v>
      </c>
      <c r="H1" s="96" t="s">
        <v>1147</v>
      </c>
      <c r="I1" s="97" t="s">
        <v>1148</v>
      </c>
      <c r="J1" s="97" t="s">
        <v>1149</v>
      </c>
      <c r="K1" s="96" t="s">
        <v>1150</v>
      </c>
      <c r="L1" s="96" t="s">
        <v>1151</v>
      </c>
      <c r="M1" s="96"/>
      <c r="N1" s="96"/>
    </row>
    <row r="2" spans="1:14" x14ac:dyDescent="0.55000000000000004">
      <c r="B2" s="100" t="s">
        <v>272</v>
      </c>
      <c r="C2" s="100" t="s">
        <v>265</v>
      </c>
      <c r="D2" s="101" t="s">
        <v>84</v>
      </c>
      <c r="E2" s="101" t="s">
        <v>1152</v>
      </c>
      <c r="F2" s="102">
        <v>0</v>
      </c>
      <c r="G2" s="100" t="s">
        <v>1153</v>
      </c>
      <c r="H2" s="99">
        <v>0</v>
      </c>
      <c r="I2" s="99">
        <f>VLOOKUP(G2,m2mFormatLUT!$B$2:$D$17,2,FALSE)</f>
        <v>0</v>
      </c>
      <c r="J2" s="99" t="str">
        <f>IF(E2=m2mFormatLUT!$A$2,CONCATENATE(DEC2HEX(I2,1),DEC2HEX(H2,3)),CONCATENATE(DEC2HEX(240,2),DEC2HEX(I2,1),DEC2HEX(H2,5)))</f>
        <v>0000</v>
      </c>
      <c r="K2" s="99">
        <v>0</v>
      </c>
      <c r="L2" s="99">
        <f>IF(I2=6,(LEN(K2)+1)*8,IF(I2=7,(1 + HEX2DEC(MID(K2,3,FIND(",",K2)-3)))*8,IF(I2=14,(LEN(K2)+1)*16,IF(I2=15,(1 + HEX2DEC(MID(K2,3,FIND(",",K2)-3)))*16,VLOOKUP(G2,m2mFormatLUT!$B$2:$D$17,3,FALSE)))))</f>
        <v>1</v>
      </c>
    </row>
    <row r="3" spans="1:14" x14ac:dyDescent="0.55000000000000004">
      <c r="A3" s="99" t="s">
        <v>273</v>
      </c>
      <c r="B3" s="100" t="s">
        <v>177</v>
      </c>
      <c r="C3" s="100" t="s">
        <v>265</v>
      </c>
      <c r="D3" s="101" t="s">
        <v>84</v>
      </c>
      <c r="E3" s="101" t="s">
        <v>1152</v>
      </c>
      <c r="F3" s="102">
        <v>0</v>
      </c>
      <c r="G3" s="100" t="s">
        <v>1153</v>
      </c>
      <c r="H3" s="99">
        <v>1</v>
      </c>
      <c r="I3" s="99">
        <f>VLOOKUP(G3,m2mFormatLUT!$B$2:$D$17,2,FALSE)</f>
        <v>0</v>
      </c>
      <c r="J3" s="99" t="str">
        <f>IF(E3=m2mFormatLUT!$A$2,CONCATENATE(DEC2HEX(I3,1),DEC2HEX(H3,3)),CONCATENATE(DEC2HEX(240,2),DEC2HEX(I3,1),DEC2HEX(H3,5)))</f>
        <v>0001</v>
      </c>
      <c r="K3" s="99">
        <v>0</v>
      </c>
      <c r="L3" s="99">
        <f>IF(I3=6,(LEN(K3)+1)*8,IF(I3=7,(1 + HEX2DEC(MID(K3,3,FIND(",",K3)-3)))*8,IF(I3=14,(LEN(K3)+1)*16,IF(I3=15,(1 + HEX2DEC(MID(K3,3,FIND(",",K3)-3)))*16,VLOOKUP(G3,m2mFormatLUT!$B$2:$D$17,3,FALSE)))))</f>
        <v>1</v>
      </c>
    </row>
    <row r="4" spans="1:14" x14ac:dyDescent="0.55000000000000004">
      <c r="A4" s="99" t="s">
        <v>276</v>
      </c>
      <c r="B4" s="100" t="s">
        <v>277</v>
      </c>
      <c r="C4" s="100" t="s">
        <v>265</v>
      </c>
      <c r="D4" s="101" t="s">
        <v>84</v>
      </c>
      <c r="E4" s="101" t="s">
        <v>1152</v>
      </c>
      <c r="F4" s="102">
        <v>0</v>
      </c>
      <c r="G4" s="100" t="s">
        <v>1153</v>
      </c>
      <c r="H4" s="99">
        <v>2</v>
      </c>
      <c r="I4" s="99">
        <f>VLOOKUP(G4,m2mFormatLUT!$B$2:$D$17,2,FALSE)</f>
        <v>0</v>
      </c>
      <c r="J4" s="99" t="str">
        <f>IF(E4=m2mFormatLUT!$A$2,CONCATENATE(DEC2HEX(I4,1),DEC2HEX(H4,3)),CONCATENATE(DEC2HEX(240,2),DEC2HEX(I4,1),DEC2HEX(H4,5)))</f>
        <v>0002</v>
      </c>
      <c r="K4" s="99">
        <v>0</v>
      </c>
      <c r="L4" s="99">
        <f>IF(I4=6,(LEN(K4)+1)*8,IF(I4=7,(1 + HEX2DEC(MID(K4,3,FIND(",",K4)-3)))*8,IF(I4=14,(LEN(K4)+1)*16,IF(I4=15,(1 + HEX2DEC(MID(K4,3,FIND(",",K4)-3)))*16,VLOOKUP(G4,m2mFormatLUT!$B$2:$D$17,3,FALSE)))))</f>
        <v>1</v>
      </c>
    </row>
    <row r="5" spans="1:14" x14ac:dyDescent="0.55000000000000004">
      <c r="A5" s="99" t="s">
        <v>280</v>
      </c>
      <c r="B5" s="100" t="s">
        <v>281</v>
      </c>
      <c r="C5" s="100" t="s">
        <v>265</v>
      </c>
      <c r="D5" s="101" t="s">
        <v>84</v>
      </c>
      <c r="E5" s="101" t="s">
        <v>1152</v>
      </c>
      <c r="F5" s="102">
        <v>0</v>
      </c>
      <c r="G5" s="100" t="s">
        <v>1153</v>
      </c>
      <c r="H5" s="99">
        <v>3</v>
      </c>
      <c r="I5" s="99">
        <f>VLOOKUP(G5,m2mFormatLUT!$B$2:$D$17,2,FALSE)</f>
        <v>0</v>
      </c>
      <c r="J5" s="99" t="str">
        <f>IF(E5=m2mFormatLUT!$A$2,CONCATENATE(DEC2HEX(I5,1),DEC2HEX(H5,3)),CONCATENATE(DEC2HEX(240,2),DEC2HEX(I5,1),DEC2HEX(H5,5)))</f>
        <v>0003</v>
      </c>
      <c r="K5" s="99">
        <v>0</v>
      </c>
      <c r="L5" s="99">
        <f>IF(I5=6,(LEN(K5)+1)*8,IF(I5=7,(1 + HEX2DEC(MID(K5,3,FIND(",",K5)-3)))*8,IF(I5=14,(LEN(K5)+1)*16,IF(I5=15,(1 + HEX2DEC(MID(K5,3,FIND(",",K5)-3)))*16,VLOOKUP(G5,m2mFormatLUT!$B$2:$D$17,3,FALSE)))))</f>
        <v>1</v>
      </c>
    </row>
    <row r="6" spans="1:14" x14ac:dyDescent="0.55000000000000004">
      <c r="A6" s="99" t="s">
        <v>284</v>
      </c>
      <c r="B6" s="100" t="s">
        <v>285</v>
      </c>
      <c r="C6" s="100" t="s">
        <v>265</v>
      </c>
      <c r="D6" s="101" t="s">
        <v>84</v>
      </c>
      <c r="E6" s="101" t="s">
        <v>1152</v>
      </c>
      <c r="F6" s="102">
        <v>0</v>
      </c>
      <c r="G6" s="100" t="s">
        <v>1153</v>
      </c>
      <c r="H6" s="99">
        <v>4</v>
      </c>
      <c r="I6" s="99">
        <f>VLOOKUP(G6,m2mFormatLUT!$B$2:$D$17,2,FALSE)</f>
        <v>0</v>
      </c>
      <c r="J6" s="99" t="str">
        <f>IF(E6=m2mFormatLUT!$A$2,CONCATENATE(DEC2HEX(I6,1),DEC2HEX(H6,3)),CONCATENATE(DEC2HEX(240,2),DEC2HEX(I6,1),DEC2HEX(H6,5)))</f>
        <v>0004</v>
      </c>
      <c r="K6" s="99">
        <v>0</v>
      </c>
      <c r="L6" s="99">
        <f>IF(I6=6,(LEN(K6)+1)*8,IF(I6=7,(1 + HEX2DEC(MID(K6,3,FIND(",",K6)-3)))*8,IF(I6=14,(LEN(K6)+1)*16,IF(I6=15,(1 + HEX2DEC(MID(K6,3,FIND(",",K6)-3)))*16,VLOOKUP(G6,m2mFormatLUT!$B$2:$D$17,3,FALSE)))))</f>
        <v>1</v>
      </c>
    </row>
    <row r="7" spans="1:14" x14ac:dyDescent="0.55000000000000004">
      <c r="A7" s="99" t="s">
        <v>288</v>
      </c>
      <c r="B7" s="100" t="s">
        <v>289</v>
      </c>
      <c r="C7" s="100" t="s">
        <v>265</v>
      </c>
      <c r="D7" s="101" t="s">
        <v>84</v>
      </c>
      <c r="E7" s="101" t="s">
        <v>1152</v>
      </c>
      <c r="F7" s="102">
        <v>0</v>
      </c>
      <c r="G7" s="100" t="s">
        <v>1153</v>
      </c>
      <c r="H7" s="99">
        <v>5</v>
      </c>
      <c r="I7" s="99">
        <f>VLOOKUP(G7,m2mFormatLUT!$B$2:$D$17,2,FALSE)</f>
        <v>0</v>
      </c>
      <c r="J7" s="99" t="str">
        <f>IF(E7=m2mFormatLUT!$A$2,CONCATENATE(DEC2HEX(I7,1),DEC2HEX(H7,3)),CONCATENATE(DEC2HEX(240,2),DEC2HEX(I7,1),DEC2HEX(H7,5)))</f>
        <v>0005</v>
      </c>
      <c r="K7" s="99">
        <v>0</v>
      </c>
      <c r="L7" s="99">
        <f>IF(I7=6,(LEN(K7)+1)*8,IF(I7=7,(1 + HEX2DEC(MID(K7,3,FIND(",",K7)-3)))*8,IF(I7=14,(LEN(K7)+1)*16,IF(I7=15,(1 + HEX2DEC(MID(K7,3,FIND(",",K7)-3)))*16,VLOOKUP(G7,m2mFormatLUT!$B$2:$D$17,3,FALSE)))))</f>
        <v>1</v>
      </c>
    </row>
    <row r="8" spans="1:14" x14ac:dyDescent="0.55000000000000004">
      <c r="A8" s="99" t="s">
        <v>292</v>
      </c>
      <c r="B8" s="100" t="s">
        <v>83</v>
      </c>
      <c r="C8" s="100" t="s">
        <v>265</v>
      </c>
      <c r="D8" s="101" t="s">
        <v>84</v>
      </c>
      <c r="E8" s="101" t="s">
        <v>1152</v>
      </c>
      <c r="F8" s="102">
        <v>0</v>
      </c>
      <c r="G8" s="100" t="s">
        <v>1153</v>
      </c>
      <c r="H8" s="99">
        <v>6</v>
      </c>
      <c r="I8" s="99">
        <f>VLOOKUP(G8,m2mFormatLUT!$B$2:$D$17,2,FALSE)</f>
        <v>0</v>
      </c>
      <c r="J8" s="99" t="str">
        <f>IF(E8=m2mFormatLUT!$A$2,CONCATENATE(DEC2HEX(I8,1),DEC2HEX(H8,3)),CONCATENATE(DEC2HEX(240,2),DEC2HEX(I8,1),DEC2HEX(H8,5)))</f>
        <v>0006</v>
      </c>
      <c r="K8" s="99">
        <v>0</v>
      </c>
      <c r="L8" s="99">
        <f>IF(I8=6,(LEN(K8)+1)*8,IF(I8=7,(1 + HEX2DEC(MID(K8,3,FIND(",",K8)-3)))*8,IF(I8=14,(LEN(K8)+1)*16,IF(I8=15,(1 + HEX2DEC(MID(K8,3,FIND(",",K8)-3)))*16,VLOOKUP(G8,m2mFormatLUT!$B$2:$D$17,3,FALSE)))))</f>
        <v>1</v>
      </c>
    </row>
    <row r="9" spans="1:14" x14ac:dyDescent="0.55000000000000004">
      <c r="A9" s="99" t="s">
        <v>300</v>
      </c>
      <c r="B9" s="100" t="s">
        <v>301</v>
      </c>
      <c r="C9" s="100" t="s">
        <v>265</v>
      </c>
      <c r="D9" s="101" t="s">
        <v>84</v>
      </c>
      <c r="E9" s="101" t="s">
        <v>1152</v>
      </c>
      <c r="F9" s="102">
        <v>0</v>
      </c>
      <c r="G9" s="100" t="s">
        <v>1153</v>
      </c>
      <c r="H9" s="99">
        <v>7</v>
      </c>
      <c r="I9" s="99">
        <f>VLOOKUP(G9,m2mFormatLUT!$B$2:$D$17,2,FALSE)</f>
        <v>0</v>
      </c>
      <c r="J9" s="99" t="str">
        <f>IF(E9=m2mFormatLUT!$A$2,CONCATENATE(DEC2HEX(I9,1),DEC2HEX(H9,3)),CONCATENATE(DEC2HEX(240,2),DEC2HEX(I9,1),DEC2HEX(H9,5)))</f>
        <v>0007</v>
      </c>
      <c r="K9" s="99">
        <v>0</v>
      </c>
      <c r="L9" s="99">
        <f>IF(I9=6,(LEN(K9)+1)*8,IF(I9=7,(1 + HEX2DEC(MID(K9,3,FIND(",",K9)-3)))*8,IF(I9=14,(LEN(K9)+1)*16,IF(I9=15,(1 + HEX2DEC(MID(K9,3,FIND(",",K9)-3)))*16,VLOOKUP(G9,m2mFormatLUT!$B$2:$D$17,3,FALSE)))))</f>
        <v>1</v>
      </c>
    </row>
    <row r="10" spans="1:14" x14ac:dyDescent="0.55000000000000004">
      <c r="A10" s="99" t="s">
        <v>302</v>
      </c>
      <c r="B10" s="100" t="s">
        <v>88</v>
      </c>
      <c r="C10" s="100" t="s">
        <v>265</v>
      </c>
      <c r="D10" s="101" t="s">
        <v>84</v>
      </c>
      <c r="E10" s="101" t="s">
        <v>1152</v>
      </c>
      <c r="F10" s="102">
        <v>0</v>
      </c>
      <c r="G10" s="100" t="s">
        <v>1153</v>
      </c>
      <c r="H10" s="99">
        <v>8</v>
      </c>
      <c r="I10" s="99">
        <f>VLOOKUP(G10,m2mFormatLUT!$B$2:$D$17,2,FALSE)</f>
        <v>0</v>
      </c>
      <c r="J10" s="99" t="str">
        <f>IF(E10=m2mFormatLUT!$A$2,CONCATENATE(DEC2HEX(I10,1),DEC2HEX(H10,3)),CONCATENATE(DEC2HEX(240,2),DEC2HEX(I10,1),DEC2HEX(H10,5)))</f>
        <v>0008</v>
      </c>
      <c r="K10" s="99">
        <v>0</v>
      </c>
      <c r="L10" s="99">
        <f>IF(I10=6,(LEN(K10)+1)*8,IF(I10=7,(1 + HEX2DEC(MID(K10,3,FIND(",",K10)-3)))*8,IF(I10=14,(LEN(K10)+1)*16,IF(I10=15,(1 + HEX2DEC(MID(K10,3,FIND(",",K10)-3)))*16,VLOOKUP(G10,m2mFormatLUT!$B$2:$D$17,3,FALSE)))))</f>
        <v>1</v>
      </c>
    </row>
    <row r="11" spans="1:14" x14ac:dyDescent="0.55000000000000004">
      <c r="A11" s="99" t="s">
        <v>305</v>
      </c>
      <c r="B11" s="100" t="s">
        <v>306</v>
      </c>
      <c r="C11" s="100" t="s">
        <v>265</v>
      </c>
      <c r="D11" s="101" t="s">
        <v>84</v>
      </c>
      <c r="E11" s="101" t="s">
        <v>1152</v>
      </c>
      <c r="F11" s="102">
        <v>0</v>
      </c>
      <c r="G11" s="100" t="s">
        <v>1153</v>
      </c>
      <c r="H11" s="99">
        <v>9</v>
      </c>
      <c r="I11" s="99">
        <f>VLOOKUP(G11,m2mFormatLUT!$B$2:$D$17,2,FALSE)</f>
        <v>0</v>
      </c>
      <c r="J11" s="99" t="str">
        <f>IF(E11=m2mFormatLUT!$A$2,CONCATENATE(DEC2HEX(I11,1),DEC2HEX(H11,3)),CONCATENATE(DEC2HEX(240,2),DEC2HEX(I11,1),DEC2HEX(H11,5)))</f>
        <v>0009</v>
      </c>
      <c r="K11" s="99">
        <v>0</v>
      </c>
      <c r="L11" s="99">
        <f>IF(I11=6,(LEN(K11)+1)*8,IF(I11=7,(1 + HEX2DEC(MID(K11,3,FIND(",",K11)-3)))*8,IF(I11=14,(LEN(K11)+1)*16,IF(I11=15,(1 + HEX2DEC(MID(K11,3,FIND(",",K11)-3)))*16,VLOOKUP(G11,m2mFormatLUT!$B$2:$D$17,3,FALSE)))))</f>
        <v>1</v>
      </c>
    </row>
    <row r="12" spans="1:14" x14ac:dyDescent="0.55000000000000004">
      <c r="A12" s="99" t="s">
        <v>309</v>
      </c>
      <c r="B12" s="100" t="s">
        <v>89</v>
      </c>
      <c r="C12" s="100" t="s">
        <v>265</v>
      </c>
      <c r="D12" s="101" t="s">
        <v>84</v>
      </c>
      <c r="E12" s="101" t="s">
        <v>1152</v>
      </c>
      <c r="F12" s="102">
        <v>0</v>
      </c>
      <c r="G12" s="100" t="s">
        <v>1153</v>
      </c>
      <c r="H12" s="99">
        <v>10</v>
      </c>
      <c r="I12" s="99">
        <f>VLOOKUP(G12,m2mFormatLUT!$B$2:$D$17,2,FALSE)</f>
        <v>0</v>
      </c>
      <c r="J12" s="99" t="str">
        <f>IF(E12=m2mFormatLUT!$A$2,CONCATENATE(DEC2HEX(I12,1),DEC2HEX(H12,3)),CONCATENATE(DEC2HEX(240,2),DEC2HEX(I12,1),DEC2HEX(H12,5)))</f>
        <v>000A</v>
      </c>
      <c r="K12" s="99">
        <v>0</v>
      </c>
      <c r="L12" s="99">
        <f>IF(I12=6,(LEN(K12)+1)*8,IF(I12=7,(1 + HEX2DEC(MID(K12,3,FIND(",",K12)-3)))*8,IF(I12=14,(LEN(K12)+1)*16,IF(I12=15,(1 + HEX2DEC(MID(K12,3,FIND(",",K12)-3)))*16,VLOOKUP(G12,m2mFormatLUT!$B$2:$D$17,3,FALSE)))))</f>
        <v>1</v>
      </c>
    </row>
    <row r="13" spans="1:14" x14ac:dyDescent="0.55000000000000004">
      <c r="A13" s="99" t="s">
        <v>312</v>
      </c>
      <c r="B13" s="100" t="s">
        <v>313</v>
      </c>
      <c r="C13" s="100" t="s">
        <v>265</v>
      </c>
      <c r="D13" s="101" t="s">
        <v>84</v>
      </c>
      <c r="E13" s="101" t="s">
        <v>1152</v>
      </c>
      <c r="F13" s="102">
        <v>0</v>
      </c>
      <c r="G13" s="100" t="s">
        <v>1153</v>
      </c>
      <c r="H13" s="99">
        <v>11</v>
      </c>
      <c r="I13" s="99">
        <f>VLOOKUP(G13,m2mFormatLUT!$B$2:$D$17,2,FALSE)</f>
        <v>0</v>
      </c>
      <c r="J13" s="99" t="str">
        <f>IF(E13=m2mFormatLUT!$A$2,CONCATENATE(DEC2HEX(I13,1),DEC2HEX(H13,3)),CONCATENATE(DEC2HEX(240,2),DEC2HEX(I13,1),DEC2HEX(H13,5)))</f>
        <v>000B</v>
      </c>
      <c r="K13" s="99">
        <v>0</v>
      </c>
      <c r="L13" s="99">
        <f>IF(I13=6,(LEN(K13)+1)*8,IF(I13=7,(1 + HEX2DEC(MID(K13,3,FIND(",",K13)-3)))*8,IF(I13=14,(LEN(K13)+1)*16,IF(I13=15,(1 + HEX2DEC(MID(K13,3,FIND(",",K13)-3)))*16,VLOOKUP(G13,m2mFormatLUT!$B$2:$D$17,3,FALSE)))))</f>
        <v>1</v>
      </c>
    </row>
    <row r="14" spans="1:14" x14ac:dyDescent="0.55000000000000004">
      <c r="A14" s="99" t="s">
        <v>316</v>
      </c>
      <c r="B14" s="100" t="s">
        <v>317</v>
      </c>
      <c r="C14" s="100" t="s">
        <v>265</v>
      </c>
      <c r="D14" s="101" t="s">
        <v>84</v>
      </c>
      <c r="E14" s="101" t="s">
        <v>1152</v>
      </c>
      <c r="F14" s="102">
        <v>0</v>
      </c>
      <c r="G14" s="100" t="s">
        <v>1153</v>
      </c>
      <c r="H14" s="99">
        <v>12</v>
      </c>
      <c r="I14" s="99">
        <f>VLOOKUP(G14,m2mFormatLUT!$B$2:$D$17,2,FALSE)</f>
        <v>0</v>
      </c>
      <c r="J14" s="99" t="str">
        <f>IF(E14=m2mFormatLUT!$A$2,CONCATENATE(DEC2HEX(I14,1),DEC2HEX(H14,3)),CONCATENATE(DEC2HEX(240,2),DEC2HEX(I14,1),DEC2HEX(H14,5)))</f>
        <v>000C</v>
      </c>
      <c r="K14" s="99">
        <v>0</v>
      </c>
      <c r="L14" s="99">
        <f>IF(I14=6,(LEN(K14)+1)*8,IF(I14=7,(1 + HEX2DEC(MID(K14,3,FIND(",",K14)-3)))*8,IF(I14=14,(LEN(K14)+1)*16,IF(I14=15,(1 + HEX2DEC(MID(K14,3,FIND(",",K14)-3)))*16,VLOOKUP(G14,m2mFormatLUT!$B$2:$D$17,3,FALSE)))))</f>
        <v>1</v>
      </c>
    </row>
    <row r="15" spans="1:14" x14ac:dyDescent="0.55000000000000004">
      <c r="A15" s="99" t="s">
        <v>320</v>
      </c>
      <c r="B15" s="100" t="s">
        <v>321</v>
      </c>
      <c r="C15" s="100" t="s">
        <v>265</v>
      </c>
      <c r="D15" s="101" t="s">
        <v>84</v>
      </c>
      <c r="E15" s="101" t="s">
        <v>1152</v>
      </c>
      <c r="F15" s="102">
        <v>0</v>
      </c>
      <c r="G15" s="100" t="s">
        <v>1153</v>
      </c>
      <c r="H15" s="99">
        <v>13</v>
      </c>
      <c r="I15" s="99">
        <f>VLOOKUP(G15,m2mFormatLUT!$B$2:$D$17,2,FALSE)</f>
        <v>0</v>
      </c>
      <c r="J15" s="99" t="str">
        <f>IF(E15=m2mFormatLUT!$A$2,CONCATENATE(DEC2HEX(I15,1),DEC2HEX(H15,3)),CONCATENATE(DEC2HEX(240,2),DEC2HEX(I15,1),DEC2HEX(H15,5)))</f>
        <v>000D</v>
      </c>
      <c r="K15" s="99">
        <v>0</v>
      </c>
      <c r="L15" s="99">
        <f>IF(I15=6,(LEN(K15)+1)*8,IF(I15=7,(1 + HEX2DEC(MID(K15,3,FIND(",",K15)-3)))*8,IF(I15=14,(LEN(K15)+1)*16,IF(I15=15,(1 + HEX2DEC(MID(K15,3,FIND(",",K15)-3)))*16,VLOOKUP(G15,m2mFormatLUT!$B$2:$D$17,3,FALSE)))))</f>
        <v>1</v>
      </c>
    </row>
    <row r="16" spans="1:14" x14ac:dyDescent="0.55000000000000004">
      <c r="A16" s="99" t="s">
        <v>324</v>
      </c>
      <c r="B16" s="100" t="s">
        <v>325</v>
      </c>
      <c r="C16" s="100" t="s">
        <v>265</v>
      </c>
      <c r="D16" s="101" t="s">
        <v>84</v>
      </c>
      <c r="E16" s="101" t="s">
        <v>1152</v>
      </c>
      <c r="F16" s="102">
        <v>0</v>
      </c>
      <c r="G16" s="100" t="s">
        <v>1153</v>
      </c>
      <c r="H16" s="99">
        <v>14</v>
      </c>
      <c r="I16" s="99">
        <f>VLOOKUP(G16,m2mFormatLUT!$B$2:$D$17,2,FALSE)</f>
        <v>0</v>
      </c>
      <c r="J16" s="99" t="str">
        <f>IF(E16=m2mFormatLUT!$A$2,CONCATENATE(DEC2HEX(I16,1),DEC2HEX(H16,3)),CONCATENATE(DEC2HEX(240,2),DEC2HEX(I16,1),DEC2HEX(H16,5)))</f>
        <v>000E</v>
      </c>
      <c r="K16" s="99">
        <v>0</v>
      </c>
      <c r="L16" s="99">
        <f>IF(I16=6,(LEN(K16)+1)*8,IF(I16=7,(1 + HEX2DEC(MID(K16,3,FIND(",",K16)-3)))*8,IF(I16=14,(LEN(K16)+1)*16,IF(I16=15,(1 + HEX2DEC(MID(K16,3,FIND(",",K16)-3)))*16,VLOOKUP(G16,m2mFormatLUT!$B$2:$D$17,3,FALSE)))))</f>
        <v>1</v>
      </c>
    </row>
    <row r="17" spans="1:14" x14ac:dyDescent="0.55000000000000004">
      <c r="A17" s="99" t="s">
        <v>328</v>
      </c>
      <c r="B17" s="100" t="s">
        <v>329</v>
      </c>
      <c r="C17" s="100" t="s">
        <v>265</v>
      </c>
      <c r="D17" s="101" t="s">
        <v>84</v>
      </c>
      <c r="E17" s="101" t="s">
        <v>1152</v>
      </c>
      <c r="F17" s="102">
        <v>0</v>
      </c>
      <c r="G17" s="100" t="s">
        <v>1153</v>
      </c>
      <c r="H17" s="99">
        <v>15</v>
      </c>
      <c r="I17" s="99">
        <f>VLOOKUP(G17,m2mFormatLUT!$B$2:$D$17,2,FALSE)</f>
        <v>0</v>
      </c>
      <c r="J17" s="99" t="str">
        <f>IF(E17=m2mFormatLUT!$A$2,CONCATENATE(DEC2HEX(I17,1),DEC2HEX(H17,3)),CONCATENATE(DEC2HEX(240,2),DEC2HEX(I17,1),DEC2HEX(H17,5)))</f>
        <v>000F</v>
      </c>
      <c r="K17" s="99">
        <v>0</v>
      </c>
      <c r="L17" s="99">
        <f>IF(I17=6,(LEN(K17)+1)*8,IF(I17=7,(1 + HEX2DEC(MID(K17,3,FIND(",",K17)-3)))*8,IF(I17=14,(LEN(K17)+1)*16,IF(I17=15,(1 + HEX2DEC(MID(K17,3,FIND(",",K17)-3)))*16,VLOOKUP(G17,m2mFormatLUT!$B$2:$D$17,3,FALSE)))))</f>
        <v>1</v>
      </c>
    </row>
    <row r="18" spans="1:14" x14ac:dyDescent="0.55000000000000004">
      <c r="A18" s="99" t="s">
        <v>332</v>
      </c>
      <c r="B18" s="100" t="s">
        <v>333</v>
      </c>
      <c r="C18" s="100" t="s">
        <v>265</v>
      </c>
      <c r="D18" s="101" t="s">
        <v>84</v>
      </c>
      <c r="E18" s="101" t="s">
        <v>1152</v>
      </c>
      <c r="F18" s="102">
        <v>0</v>
      </c>
      <c r="G18" s="100" t="s">
        <v>1153</v>
      </c>
      <c r="H18" s="99">
        <v>16</v>
      </c>
      <c r="I18" s="99">
        <f>VLOOKUP(G18,m2mFormatLUT!$B$2:$D$17,2,FALSE)</f>
        <v>0</v>
      </c>
      <c r="J18" s="99" t="str">
        <f>IF(E18=m2mFormatLUT!$A$2,CONCATENATE(DEC2HEX(I18,1),DEC2HEX(H18,3)),CONCATENATE(DEC2HEX(240,2),DEC2HEX(I18,1),DEC2HEX(H18,5)))</f>
        <v>0010</v>
      </c>
      <c r="K18" s="99">
        <v>0</v>
      </c>
      <c r="L18" s="99">
        <f>IF(I18=6,(LEN(K18)+1)*8,IF(I18=7,(1 + HEX2DEC(MID(K18,3,FIND(",",K18)-3)))*8,IF(I18=14,(LEN(K18)+1)*16,IF(I18=15,(1 + HEX2DEC(MID(K18,3,FIND(",",K18)-3)))*16,VLOOKUP(G18,m2mFormatLUT!$B$2:$D$17,3,FALSE)))))</f>
        <v>1</v>
      </c>
    </row>
    <row r="19" spans="1:14" x14ac:dyDescent="0.55000000000000004">
      <c r="A19" s="99" t="s">
        <v>336</v>
      </c>
      <c r="B19" s="100" t="s">
        <v>90</v>
      </c>
      <c r="C19" s="100" t="s">
        <v>265</v>
      </c>
      <c r="D19" s="101" t="s">
        <v>84</v>
      </c>
      <c r="E19" s="101" t="s">
        <v>1152</v>
      </c>
      <c r="F19" s="102">
        <v>0</v>
      </c>
      <c r="G19" s="100" t="s">
        <v>1153</v>
      </c>
      <c r="H19" s="99">
        <v>17</v>
      </c>
      <c r="I19" s="99">
        <f>VLOOKUP(G19,m2mFormatLUT!$B$2:$D$17,2,FALSE)</f>
        <v>0</v>
      </c>
      <c r="J19" s="99" t="str">
        <f>IF(E19=m2mFormatLUT!$A$2,CONCATENATE(DEC2HEX(I19,1),DEC2HEX(H19,3)),CONCATENATE(DEC2HEX(240,2),DEC2HEX(I19,1),DEC2HEX(H19,5)))</f>
        <v>0011</v>
      </c>
      <c r="K19" s="99">
        <v>1</v>
      </c>
      <c r="L19" s="99">
        <f>IF(I19=6,(LEN(K19)+1)*8,IF(I19=7,(1 + HEX2DEC(MID(K19,3,FIND(",",K19)-3)))*8,IF(I19=14,(LEN(K19)+1)*16,IF(I19=15,(1 + HEX2DEC(MID(K19,3,FIND(",",K19)-3)))*16,VLOOKUP(G19,m2mFormatLUT!$B$2:$D$17,3,FALSE)))))</f>
        <v>1</v>
      </c>
    </row>
    <row r="20" spans="1:14" x14ac:dyDescent="0.55000000000000004">
      <c r="A20" s="99" t="s">
        <v>339</v>
      </c>
      <c r="B20" s="100" t="s">
        <v>340</v>
      </c>
      <c r="C20" s="100" t="s">
        <v>265</v>
      </c>
      <c r="D20" s="101" t="s">
        <v>84</v>
      </c>
      <c r="E20" s="101" t="s">
        <v>1152</v>
      </c>
      <c r="F20" s="102">
        <v>0</v>
      </c>
      <c r="G20" s="100" t="s">
        <v>1153</v>
      </c>
      <c r="H20" s="99">
        <v>18</v>
      </c>
      <c r="I20" s="99">
        <f>VLOOKUP(G20,m2mFormatLUT!$B$2:$D$17,2,FALSE)</f>
        <v>0</v>
      </c>
      <c r="J20" s="99" t="str">
        <f>IF(E20=m2mFormatLUT!$A$2,CONCATENATE(DEC2HEX(I20,1),DEC2HEX(H20,3)),CONCATENATE(DEC2HEX(240,2),DEC2HEX(I20,1),DEC2HEX(H20,5)))</f>
        <v>0012</v>
      </c>
      <c r="K20" s="99">
        <v>1</v>
      </c>
      <c r="L20" s="99">
        <f>IF(I20=6,(LEN(K20)+1)*8,IF(I20=7,(1 + HEX2DEC(MID(K20,3,FIND(",",K20)-3)))*8,IF(I20=14,(LEN(K20)+1)*16,IF(I20=15,(1 + HEX2DEC(MID(K20,3,FIND(",",K20)-3)))*16,VLOOKUP(G20,m2mFormatLUT!$B$2:$D$17,3,FALSE)))))</f>
        <v>1</v>
      </c>
    </row>
    <row r="21" spans="1:14" x14ac:dyDescent="0.55000000000000004">
      <c r="A21" s="99" t="s">
        <v>343</v>
      </c>
      <c r="B21" s="100" t="s">
        <v>344</v>
      </c>
      <c r="C21" s="100" t="s">
        <v>265</v>
      </c>
      <c r="D21" s="101" t="s">
        <v>84</v>
      </c>
      <c r="E21" s="101" t="s">
        <v>1152</v>
      </c>
      <c r="F21" s="102">
        <v>0</v>
      </c>
      <c r="G21" s="100" t="s">
        <v>1153</v>
      </c>
      <c r="H21" s="99">
        <v>19</v>
      </c>
      <c r="I21" s="99">
        <f>VLOOKUP(G21,m2mFormatLUT!$B$2:$D$17,2,FALSE)</f>
        <v>0</v>
      </c>
      <c r="J21" s="99" t="str">
        <f>IF(E21=m2mFormatLUT!$A$2,CONCATENATE(DEC2HEX(I21,1),DEC2HEX(H21,3)),CONCATENATE(DEC2HEX(240,2),DEC2HEX(I21,1),DEC2HEX(H21,5)))</f>
        <v>0013</v>
      </c>
      <c r="K21" s="99">
        <v>1</v>
      </c>
      <c r="L21" s="99">
        <f>IF(I21=6,(LEN(K21)+1)*8,IF(I21=7,(1 + HEX2DEC(MID(K21,3,FIND(",",K21)-3)))*8,IF(I21=14,(LEN(K21)+1)*16,IF(I21=15,(1 + HEX2DEC(MID(K21,3,FIND(",",K21)-3)))*16,VLOOKUP(G21,m2mFormatLUT!$B$2:$D$17,3,FALSE)))))</f>
        <v>1</v>
      </c>
    </row>
    <row r="22" spans="1:14" x14ac:dyDescent="0.55000000000000004">
      <c r="A22" s="99" t="s">
        <v>347</v>
      </c>
      <c r="B22" s="100" t="s">
        <v>348</v>
      </c>
      <c r="C22" s="100" t="s">
        <v>265</v>
      </c>
      <c r="D22" s="101" t="s">
        <v>84</v>
      </c>
      <c r="E22" s="101" t="s">
        <v>1152</v>
      </c>
      <c r="F22" s="102">
        <v>0</v>
      </c>
      <c r="G22" s="100" t="s">
        <v>1153</v>
      </c>
      <c r="H22" s="99">
        <v>20</v>
      </c>
      <c r="I22" s="99">
        <f>VLOOKUP(G22,m2mFormatLUT!$B$2:$D$17,2,FALSE)</f>
        <v>0</v>
      </c>
      <c r="J22" s="99" t="str">
        <f>IF(E22=m2mFormatLUT!$A$2,CONCATENATE(DEC2HEX(I22,1),DEC2HEX(H22,3)),CONCATENATE(DEC2HEX(240,2),DEC2HEX(I22,1),DEC2HEX(H22,5)))</f>
        <v>0014</v>
      </c>
      <c r="K22" s="99">
        <v>1</v>
      </c>
      <c r="L22" s="99">
        <f>IF(I22=6,(LEN(K22)+1)*8,IF(I22=7,(1 + HEX2DEC(MID(K22,3,FIND(",",K22)-3)))*8,IF(I22=14,(LEN(K22)+1)*16,IF(I22=15,(1 + HEX2DEC(MID(K22,3,FIND(",",K22)-3)))*16,VLOOKUP(G22,m2mFormatLUT!$B$2:$D$17,3,FALSE)))))</f>
        <v>1</v>
      </c>
    </row>
    <row r="23" spans="1:14" x14ac:dyDescent="0.55000000000000004">
      <c r="A23" s="99" t="s">
        <v>351</v>
      </c>
      <c r="B23" s="100" t="s">
        <v>352</v>
      </c>
      <c r="C23" s="100" t="s">
        <v>265</v>
      </c>
      <c r="D23" s="101" t="s">
        <v>84</v>
      </c>
      <c r="E23" s="101" t="s">
        <v>1152</v>
      </c>
      <c r="F23" s="102">
        <v>0</v>
      </c>
      <c r="G23" s="100" t="s">
        <v>1153</v>
      </c>
      <c r="H23" s="99">
        <v>21</v>
      </c>
      <c r="I23" s="99">
        <f>VLOOKUP(G23,m2mFormatLUT!$B$2:$D$17,2,FALSE)</f>
        <v>0</v>
      </c>
      <c r="J23" s="99" t="str">
        <f>IF(E23=m2mFormatLUT!$A$2,CONCATENATE(DEC2HEX(I23,1),DEC2HEX(H23,3)),CONCATENATE(DEC2HEX(240,2),DEC2HEX(I23,1),DEC2HEX(H23,5)))</f>
        <v>0015</v>
      </c>
      <c r="K23" s="99">
        <v>1</v>
      </c>
      <c r="L23" s="99">
        <f>IF(I23=6,(LEN(K23)+1)*8,IF(I23=7,(1 + HEX2DEC(MID(K23,3,FIND(",",K23)-3)))*8,IF(I23=14,(LEN(K23)+1)*16,IF(I23=15,(1 + HEX2DEC(MID(K23,3,FIND(",",K23)-3)))*16,VLOOKUP(G23,m2mFormatLUT!$B$2:$D$17,3,FALSE)))))</f>
        <v>1</v>
      </c>
    </row>
    <row r="24" spans="1:14" x14ac:dyDescent="0.55000000000000004">
      <c r="A24" s="99" t="s">
        <v>356</v>
      </c>
      <c r="B24" s="100" t="s">
        <v>92</v>
      </c>
      <c r="C24" s="100" t="s">
        <v>265</v>
      </c>
      <c r="D24" s="101" t="s">
        <v>84</v>
      </c>
      <c r="E24" s="101" t="s">
        <v>1152</v>
      </c>
      <c r="F24" s="102">
        <v>0</v>
      </c>
      <c r="G24" s="100" t="s">
        <v>1153</v>
      </c>
      <c r="H24" s="99">
        <v>22</v>
      </c>
      <c r="I24" s="99">
        <f>VLOOKUP(G24,m2mFormatLUT!$B$2:$D$17,2,FALSE)</f>
        <v>0</v>
      </c>
      <c r="J24" s="99" t="str">
        <f>IF(E24=m2mFormatLUT!$A$2,CONCATENATE(DEC2HEX(I24,1),DEC2HEX(H24,3)),CONCATENATE(DEC2HEX(240,2),DEC2HEX(I24,1),DEC2HEX(H24,5)))</f>
        <v>0016</v>
      </c>
      <c r="K24" s="99">
        <v>0</v>
      </c>
      <c r="L24" s="99">
        <f>IF(I24=6,(LEN(K24)+1)*8,IF(I24=7,(1 + HEX2DEC(MID(K24,3,FIND(",",K24)-3)))*8,IF(I24=14,(LEN(K24)+1)*16,IF(I24=15,(1 + HEX2DEC(MID(K24,3,FIND(",",K24)-3)))*16,VLOOKUP(G24,m2mFormatLUT!$B$2:$D$17,3,FALSE)))))</f>
        <v>1</v>
      </c>
    </row>
    <row r="25" spans="1:14" x14ac:dyDescent="0.55000000000000004">
      <c r="A25" s="104" t="s">
        <v>362</v>
      </c>
      <c r="B25" s="100" t="s">
        <v>95</v>
      </c>
      <c r="C25" s="100" t="s">
        <v>265</v>
      </c>
      <c r="D25" s="101" t="s">
        <v>94</v>
      </c>
      <c r="E25" s="101" t="s">
        <v>1152</v>
      </c>
      <c r="F25" s="102">
        <v>0</v>
      </c>
      <c r="G25" s="100" t="s">
        <v>1153</v>
      </c>
      <c r="H25" s="99">
        <v>23</v>
      </c>
      <c r="I25" s="99">
        <f>VLOOKUP(G25,m2mFormatLUT!$B$2:$D$17,2,FALSE)</f>
        <v>0</v>
      </c>
      <c r="J25" s="99" t="str">
        <f>IF(E25=m2mFormatLUT!$A$2,CONCATENATE(DEC2HEX(I25,1),DEC2HEX(H25,3)),CONCATENATE(DEC2HEX(240,2),DEC2HEX(I25,1),DEC2HEX(H25,5)))</f>
        <v>0017</v>
      </c>
      <c r="K25" s="99">
        <v>0</v>
      </c>
      <c r="L25" s="99">
        <f>IF(I25=6,(LEN(K25)+1)*8,IF(I25=7,(1 + HEX2DEC(MID(K25,3,FIND(",",K25)-3)))*8,IF(I25=14,(LEN(K25)+1)*16,IF(I25=15,(1 + HEX2DEC(MID(K25,3,FIND(",",K25)-3)))*16,VLOOKUP(G25,m2mFormatLUT!$B$2:$D$17,3,FALSE)))))</f>
        <v>1</v>
      </c>
      <c r="N25" s="99" t="s">
        <v>1154</v>
      </c>
    </row>
    <row r="26" spans="1:14" x14ac:dyDescent="0.55000000000000004">
      <c r="A26" s="104" t="s">
        <v>363</v>
      </c>
      <c r="B26" s="100" t="s">
        <v>96</v>
      </c>
      <c r="C26" s="100" t="s">
        <v>265</v>
      </c>
      <c r="D26" s="101" t="s">
        <v>94</v>
      </c>
      <c r="E26" s="101" t="s">
        <v>1152</v>
      </c>
      <c r="F26" s="102">
        <v>0</v>
      </c>
      <c r="G26" s="100" t="s">
        <v>1153</v>
      </c>
      <c r="H26" s="99">
        <v>24</v>
      </c>
      <c r="I26" s="99">
        <f>VLOOKUP(G26,m2mFormatLUT!$B$2:$D$17,2,FALSE)</f>
        <v>0</v>
      </c>
      <c r="J26" s="99" t="str">
        <f>IF(E26=m2mFormatLUT!$A$2,CONCATENATE(DEC2HEX(I26,1),DEC2HEX(H26,3)),CONCATENATE(DEC2HEX(240,2),DEC2HEX(I26,1),DEC2HEX(H26,5)))</f>
        <v>0018</v>
      </c>
      <c r="K26" s="99">
        <v>0</v>
      </c>
      <c r="L26" s="99">
        <f>IF(I26=6,(LEN(K26)+1)*8,IF(I26=7,(1 + HEX2DEC(MID(K26,3,FIND(",",K26)-3)))*8,IF(I26=14,(LEN(K26)+1)*16,IF(I26=15,(1 + HEX2DEC(MID(K26,3,FIND(",",K26)-3)))*16,VLOOKUP(G26,m2mFormatLUT!$B$2:$D$17,3,FALSE)))))</f>
        <v>1</v>
      </c>
    </row>
    <row r="27" spans="1:14" x14ac:dyDescent="0.55000000000000004">
      <c r="A27" s="104" t="s">
        <v>364</v>
      </c>
      <c r="B27" s="100" t="s">
        <v>365</v>
      </c>
      <c r="C27" s="100" t="s">
        <v>265</v>
      </c>
      <c r="D27" s="101" t="s">
        <v>94</v>
      </c>
      <c r="E27" s="101" t="s">
        <v>1152</v>
      </c>
      <c r="F27" s="102">
        <v>0</v>
      </c>
      <c r="G27" s="100" t="s">
        <v>1153</v>
      </c>
      <c r="H27" s="99">
        <v>25</v>
      </c>
      <c r="I27" s="99">
        <f>VLOOKUP(G27,m2mFormatLUT!$B$2:$D$17,2,FALSE)</f>
        <v>0</v>
      </c>
      <c r="J27" s="99" t="str">
        <f>IF(E27=m2mFormatLUT!$A$2,CONCATENATE(DEC2HEX(I27,1),DEC2HEX(H27,3)),CONCATENATE(DEC2HEX(240,2),DEC2HEX(I27,1),DEC2HEX(H27,5)))</f>
        <v>0019</v>
      </c>
      <c r="K27" s="99">
        <v>0</v>
      </c>
      <c r="L27" s="99">
        <f>IF(I27=6,(LEN(K27)+1)*8,IF(I27=7,(1 + HEX2DEC(MID(K27,3,FIND(",",K27)-3)))*8,IF(I27=14,(LEN(K27)+1)*16,IF(I27=15,(1 + HEX2DEC(MID(K27,3,FIND(",",K27)-3)))*16,VLOOKUP(G27,m2mFormatLUT!$B$2:$D$17,3,FALSE)))))</f>
        <v>1</v>
      </c>
    </row>
    <row r="28" spans="1:14" x14ac:dyDescent="0.55000000000000004">
      <c r="A28" s="104" t="s">
        <v>366</v>
      </c>
      <c r="B28" s="100" t="s">
        <v>97</v>
      </c>
      <c r="C28" s="100" t="s">
        <v>265</v>
      </c>
      <c r="D28" s="101" t="s">
        <v>94</v>
      </c>
      <c r="E28" s="101" t="s">
        <v>1152</v>
      </c>
      <c r="F28" s="102">
        <v>0</v>
      </c>
      <c r="G28" s="100" t="s">
        <v>1153</v>
      </c>
      <c r="H28" s="99">
        <v>26</v>
      </c>
      <c r="I28" s="99">
        <f>VLOOKUP(G28,m2mFormatLUT!$B$2:$D$17,2,FALSE)</f>
        <v>0</v>
      </c>
      <c r="J28" s="99" t="str">
        <f>IF(E28=m2mFormatLUT!$A$2,CONCATENATE(DEC2HEX(I28,1),DEC2HEX(H28,3)),CONCATENATE(DEC2HEX(240,2),DEC2HEX(I28,1),DEC2HEX(H28,5)))</f>
        <v>001A</v>
      </c>
      <c r="K28" s="99">
        <v>0</v>
      </c>
      <c r="L28" s="99">
        <f>IF(I28=6,(LEN(K28)+1)*8,IF(I28=7,(1 + HEX2DEC(MID(K28,3,FIND(",",K28)-3)))*8,IF(I28=14,(LEN(K28)+1)*16,IF(I28=15,(1 + HEX2DEC(MID(K28,3,FIND(",",K28)-3)))*16,VLOOKUP(G28,m2mFormatLUT!$B$2:$D$17,3,FALSE)))))</f>
        <v>1</v>
      </c>
    </row>
    <row r="29" spans="1:14" x14ac:dyDescent="0.55000000000000004">
      <c r="A29" s="104" t="s">
        <v>367</v>
      </c>
      <c r="B29" s="100" t="s">
        <v>368</v>
      </c>
      <c r="C29" s="100" t="s">
        <v>265</v>
      </c>
      <c r="D29" s="101" t="s">
        <v>94</v>
      </c>
      <c r="E29" s="101" t="s">
        <v>1152</v>
      </c>
      <c r="F29" s="102">
        <v>0</v>
      </c>
      <c r="G29" s="100" t="s">
        <v>1153</v>
      </c>
      <c r="H29" s="99">
        <v>27</v>
      </c>
      <c r="I29" s="99">
        <f>VLOOKUP(G29,m2mFormatLUT!$B$2:$D$17,2,FALSE)</f>
        <v>0</v>
      </c>
      <c r="J29" s="99" t="str">
        <f>IF(E29=m2mFormatLUT!$A$2,CONCATENATE(DEC2HEX(I29,1),DEC2HEX(H29,3)),CONCATENATE(DEC2HEX(240,2),DEC2HEX(I29,1),DEC2HEX(H29,5)))</f>
        <v>001B</v>
      </c>
      <c r="K29" s="99">
        <v>0</v>
      </c>
      <c r="L29" s="99">
        <f>IF(I29=6,(LEN(K29)+1)*8,IF(I29=7,(1 + HEX2DEC(MID(K29,3,FIND(",",K29)-3)))*8,IF(I29=14,(LEN(K29)+1)*16,IF(I29=15,(1 + HEX2DEC(MID(K29,3,FIND(",",K29)-3)))*16,VLOOKUP(G29,m2mFormatLUT!$B$2:$D$17,3,FALSE)))))</f>
        <v>1</v>
      </c>
    </row>
    <row r="30" spans="1:14" x14ac:dyDescent="0.55000000000000004">
      <c r="A30" s="104" t="s">
        <v>369</v>
      </c>
      <c r="B30" s="100" t="s">
        <v>370</v>
      </c>
      <c r="C30" s="100" t="s">
        <v>265</v>
      </c>
      <c r="D30" s="101" t="s">
        <v>94</v>
      </c>
      <c r="E30" s="101" t="s">
        <v>1152</v>
      </c>
      <c r="F30" s="102">
        <v>0</v>
      </c>
      <c r="G30" s="100" t="s">
        <v>1153</v>
      </c>
      <c r="H30" s="99">
        <v>28</v>
      </c>
      <c r="I30" s="99">
        <f>VLOOKUP(G30,m2mFormatLUT!$B$2:$D$17,2,FALSE)</f>
        <v>0</v>
      </c>
      <c r="J30" s="99" t="str">
        <f>IF(E30=m2mFormatLUT!$A$2,CONCATENATE(DEC2HEX(I30,1),DEC2HEX(H30,3)),CONCATENATE(DEC2HEX(240,2),DEC2HEX(I30,1),DEC2HEX(H30,5)))</f>
        <v>001C</v>
      </c>
      <c r="K30" s="99">
        <v>0</v>
      </c>
      <c r="L30" s="99">
        <f>IF(I30=6,(LEN(K30)+1)*8,IF(I30=7,(1 + HEX2DEC(MID(K30,3,FIND(",",K30)-3)))*8,IF(I30=14,(LEN(K30)+1)*16,IF(I30=15,(1 + HEX2DEC(MID(K30,3,FIND(",",K30)-3)))*16,VLOOKUP(G30,m2mFormatLUT!$B$2:$D$17,3,FALSE)))))</f>
        <v>1</v>
      </c>
    </row>
    <row r="31" spans="1:14" x14ac:dyDescent="0.55000000000000004">
      <c r="A31" s="104" t="s">
        <v>371</v>
      </c>
      <c r="B31" s="100" t="s">
        <v>98</v>
      </c>
      <c r="C31" s="100" t="s">
        <v>265</v>
      </c>
      <c r="D31" s="101" t="s">
        <v>94</v>
      </c>
      <c r="E31" s="101" t="s">
        <v>1152</v>
      </c>
      <c r="F31" s="102">
        <v>0</v>
      </c>
      <c r="G31" s="100" t="s">
        <v>1153</v>
      </c>
      <c r="H31" s="99">
        <v>29</v>
      </c>
      <c r="I31" s="99">
        <f>VLOOKUP(G31,m2mFormatLUT!$B$2:$D$17,2,FALSE)</f>
        <v>0</v>
      </c>
      <c r="J31" s="99" t="str">
        <f>IF(E31=m2mFormatLUT!$A$2,CONCATENATE(DEC2HEX(I31,1),DEC2HEX(H31,3)),CONCATENATE(DEC2HEX(240,2),DEC2HEX(I31,1),DEC2HEX(H31,5)))</f>
        <v>001D</v>
      </c>
      <c r="K31" s="99">
        <v>0</v>
      </c>
      <c r="L31" s="99">
        <f>IF(I31=6,(LEN(K31)+1)*8,IF(I31=7,(1 + HEX2DEC(MID(K31,3,FIND(",",K31)-3)))*8,IF(I31=14,(LEN(K31)+1)*16,IF(I31=15,(1 + HEX2DEC(MID(K31,3,FIND(",",K31)-3)))*16,VLOOKUP(G31,m2mFormatLUT!$B$2:$D$17,3,FALSE)))))</f>
        <v>1</v>
      </c>
    </row>
    <row r="32" spans="1:14" x14ac:dyDescent="0.55000000000000004">
      <c r="A32" s="104" t="s">
        <v>372</v>
      </c>
      <c r="B32" s="100" t="s">
        <v>373</v>
      </c>
      <c r="C32" s="100" t="s">
        <v>265</v>
      </c>
      <c r="D32" s="101" t="s">
        <v>94</v>
      </c>
      <c r="E32" s="101" t="s">
        <v>1152</v>
      </c>
      <c r="F32" s="102">
        <v>0</v>
      </c>
      <c r="G32" s="100" t="s">
        <v>1153</v>
      </c>
      <c r="H32" s="99">
        <v>30</v>
      </c>
      <c r="I32" s="99">
        <f>VLOOKUP(G32,m2mFormatLUT!$B$2:$D$17,2,FALSE)</f>
        <v>0</v>
      </c>
      <c r="J32" s="99" t="str">
        <f>IF(E32=m2mFormatLUT!$A$2,CONCATENATE(DEC2HEX(I32,1),DEC2HEX(H32,3)),CONCATENATE(DEC2HEX(240,2),DEC2HEX(I32,1),DEC2HEX(H32,5)))</f>
        <v>001E</v>
      </c>
      <c r="K32" s="99">
        <v>0</v>
      </c>
      <c r="L32" s="99">
        <f>IF(I32=6,(LEN(K32)+1)*8,IF(I32=7,(1 + HEX2DEC(MID(K32,3,FIND(",",K32)-3)))*8,IF(I32=14,(LEN(K32)+1)*16,IF(I32=15,(1 + HEX2DEC(MID(K32,3,FIND(",",K32)-3)))*16,VLOOKUP(G32,m2mFormatLUT!$B$2:$D$17,3,FALSE)))))</f>
        <v>1</v>
      </c>
    </row>
    <row r="33" spans="1:12" x14ac:dyDescent="0.55000000000000004">
      <c r="A33" s="104" t="s">
        <v>374</v>
      </c>
      <c r="B33" s="105" t="s">
        <v>99</v>
      </c>
      <c r="C33" s="100" t="s">
        <v>265</v>
      </c>
      <c r="D33" s="106" t="s">
        <v>94</v>
      </c>
      <c r="E33" s="101" t="s">
        <v>1152</v>
      </c>
      <c r="F33" s="102">
        <v>0</v>
      </c>
      <c r="G33" s="100" t="s">
        <v>1153</v>
      </c>
      <c r="H33" s="99">
        <v>31</v>
      </c>
      <c r="I33" s="99">
        <f>VLOOKUP(G33,m2mFormatLUT!$B$2:$D$17,2,FALSE)</f>
        <v>0</v>
      </c>
      <c r="J33" s="99" t="str">
        <f>IF(E33=m2mFormatLUT!$A$2,CONCATENATE(DEC2HEX(I33,1),DEC2HEX(H33,3)),CONCATENATE(DEC2HEX(240,2),DEC2HEX(I33,1),DEC2HEX(H33,5)))</f>
        <v>001F</v>
      </c>
      <c r="K33" s="99">
        <v>0</v>
      </c>
      <c r="L33" s="99">
        <f>IF(I33=6,(LEN(K33)+1)*8,IF(I33=7,(1 + HEX2DEC(MID(K33,3,FIND(",",K33)-3)))*8,IF(I33=14,(LEN(K33)+1)*16,IF(I33=15,(1 + HEX2DEC(MID(K33,3,FIND(",",K33)-3)))*16,VLOOKUP(G33,m2mFormatLUT!$B$2:$D$17,3,FALSE)))))</f>
        <v>1</v>
      </c>
    </row>
    <row r="34" spans="1:12" x14ac:dyDescent="0.55000000000000004">
      <c r="A34" s="104" t="s">
        <v>375</v>
      </c>
      <c r="B34" s="105" t="s">
        <v>100</v>
      </c>
      <c r="C34" s="100" t="s">
        <v>265</v>
      </c>
      <c r="D34" s="106" t="s">
        <v>94</v>
      </c>
      <c r="E34" s="101" t="s">
        <v>1152</v>
      </c>
      <c r="F34" s="102">
        <v>0</v>
      </c>
      <c r="G34" s="100" t="s">
        <v>1153</v>
      </c>
      <c r="H34" s="99">
        <v>32</v>
      </c>
      <c r="I34" s="99">
        <f>VLOOKUP(G34,m2mFormatLUT!$B$2:$D$17,2,FALSE)</f>
        <v>0</v>
      </c>
      <c r="J34" s="99" t="str">
        <f>IF(E34=m2mFormatLUT!$A$2,CONCATENATE(DEC2HEX(I34,1),DEC2HEX(H34,3)),CONCATENATE(DEC2HEX(240,2),DEC2HEX(I34,1),DEC2HEX(H34,5)))</f>
        <v>0020</v>
      </c>
      <c r="K34" s="99">
        <v>0</v>
      </c>
      <c r="L34" s="99">
        <f>IF(I34=6,(LEN(K34)+1)*8,IF(I34=7,(1 + HEX2DEC(MID(K34,3,FIND(",",K34)-3)))*8,IF(I34=14,(LEN(K34)+1)*16,IF(I34=15,(1 + HEX2DEC(MID(K34,3,FIND(",",K34)-3)))*16,VLOOKUP(G34,m2mFormatLUT!$B$2:$D$17,3,FALSE)))))</f>
        <v>1</v>
      </c>
    </row>
    <row r="35" spans="1:12" x14ac:dyDescent="0.55000000000000004">
      <c r="A35" s="104" t="s">
        <v>376</v>
      </c>
      <c r="B35" s="105" t="s">
        <v>377</v>
      </c>
      <c r="C35" s="100" t="s">
        <v>265</v>
      </c>
      <c r="D35" s="106" t="s">
        <v>94</v>
      </c>
      <c r="E35" s="101" t="s">
        <v>1152</v>
      </c>
      <c r="F35" s="102">
        <v>0</v>
      </c>
      <c r="G35" s="100" t="s">
        <v>1153</v>
      </c>
      <c r="H35" s="99">
        <v>33</v>
      </c>
      <c r="I35" s="99">
        <f>VLOOKUP(G35,m2mFormatLUT!$B$2:$D$17,2,FALSE)</f>
        <v>0</v>
      </c>
      <c r="J35" s="99" t="str">
        <f>IF(E35=m2mFormatLUT!$A$2,CONCATENATE(DEC2HEX(I35,1),DEC2HEX(H35,3)),CONCATENATE(DEC2HEX(240,2),DEC2HEX(I35,1),DEC2HEX(H35,5)))</f>
        <v>0021</v>
      </c>
      <c r="K35" s="99">
        <v>0</v>
      </c>
      <c r="L35" s="99">
        <f>IF(I35=6,(LEN(K35)+1)*8,IF(I35=7,(1 + HEX2DEC(MID(K35,3,FIND(",",K35)-3)))*8,IF(I35=14,(LEN(K35)+1)*16,IF(I35=15,(1 + HEX2DEC(MID(K35,3,FIND(",",K35)-3)))*16,VLOOKUP(G35,m2mFormatLUT!$B$2:$D$17,3,FALSE)))))</f>
        <v>1</v>
      </c>
    </row>
    <row r="36" spans="1:12" x14ac:dyDescent="0.55000000000000004">
      <c r="A36" s="104" t="s">
        <v>378</v>
      </c>
      <c r="B36" s="105" t="s">
        <v>379</v>
      </c>
      <c r="C36" s="100" t="s">
        <v>265</v>
      </c>
      <c r="D36" s="106" t="s">
        <v>94</v>
      </c>
      <c r="E36" s="101" t="s">
        <v>1152</v>
      </c>
      <c r="F36" s="102">
        <v>0</v>
      </c>
      <c r="G36" s="100" t="s">
        <v>1153</v>
      </c>
      <c r="H36" s="99">
        <v>34</v>
      </c>
      <c r="I36" s="99">
        <f>VLOOKUP(G36,m2mFormatLUT!$B$2:$D$17,2,FALSE)</f>
        <v>0</v>
      </c>
      <c r="J36" s="99" t="str">
        <f>IF(E36=m2mFormatLUT!$A$2,CONCATENATE(DEC2HEX(I36,1),DEC2HEX(H36,3)),CONCATENATE(DEC2HEX(240,2),DEC2HEX(I36,1),DEC2HEX(H36,5)))</f>
        <v>0022</v>
      </c>
      <c r="K36" s="99">
        <v>0</v>
      </c>
      <c r="L36" s="99">
        <f>IF(I36=6,(LEN(K36)+1)*8,IF(I36=7,(1 + HEX2DEC(MID(K36,3,FIND(",",K36)-3)))*8,IF(I36=14,(LEN(K36)+1)*16,IF(I36=15,(1 + HEX2DEC(MID(K36,3,FIND(",",K36)-3)))*16,VLOOKUP(G36,m2mFormatLUT!$B$2:$D$17,3,FALSE)))))</f>
        <v>1</v>
      </c>
    </row>
    <row r="37" spans="1:12" x14ac:dyDescent="0.55000000000000004">
      <c r="A37" s="104" t="s">
        <v>380</v>
      </c>
      <c r="B37" s="105" t="s">
        <v>101</v>
      </c>
      <c r="C37" s="100" t="s">
        <v>265</v>
      </c>
      <c r="D37" s="106" t="s">
        <v>94</v>
      </c>
      <c r="E37" s="101" t="s">
        <v>1152</v>
      </c>
      <c r="F37" s="102">
        <v>0</v>
      </c>
      <c r="G37" s="100" t="s">
        <v>1153</v>
      </c>
      <c r="H37" s="99">
        <v>35</v>
      </c>
      <c r="I37" s="99">
        <f>VLOOKUP(G37,m2mFormatLUT!$B$2:$D$17,2,FALSE)</f>
        <v>0</v>
      </c>
      <c r="J37" s="99" t="str">
        <f>IF(E37=m2mFormatLUT!$A$2,CONCATENATE(DEC2HEX(I37,1),DEC2HEX(H37,3)),CONCATENATE(DEC2HEX(240,2),DEC2HEX(I37,1),DEC2HEX(H37,5)))</f>
        <v>0023</v>
      </c>
      <c r="K37" s="99">
        <v>0</v>
      </c>
      <c r="L37" s="99">
        <f>IF(I37=6,(LEN(K37)+1)*8,IF(I37=7,(1 + HEX2DEC(MID(K37,3,FIND(",",K37)-3)))*8,IF(I37=14,(LEN(K37)+1)*16,IF(I37=15,(1 + HEX2DEC(MID(K37,3,FIND(",",K37)-3)))*16,VLOOKUP(G37,m2mFormatLUT!$B$2:$D$17,3,FALSE)))))</f>
        <v>1</v>
      </c>
    </row>
    <row r="38" spans="1:12" x14ac:dyDescent="0.55000000000000004">
      <c r="A38" s="99" t="s">
        <v>381</v>
      </c>
      <c r="B38" s="105" t="s">
        <v>382</v>
      </c>
      <c r="C38" s="100" t="s">
        <v>265</v>
      </c>
      <c r="D38" s="106" t="s">
        <v>94</v>
      </c>
      <c r="E38" s="101" t="s">
        <v>1152</v>
      </c>
      <c r="F38" s="102">
        <v>0</v>
      </c>
      <c r="G38" s="100" t="s">
        <v>1153</v>
      </c>
      <c r="H38" s="99">
        <v>36</v>
      </c>
      <c r="I38" s="99">
        <f>VLOOKUP(G38,m2mFormatLUT!$B$2:$D$17,2,FALSE)</f>
        <v>0</v>
      </c>
      <c r="J38" s="99" t="str">
        <f>IF(E38=m2mFormatLUT!$A$2,CONCATENATE(DEC2HEX(I38,1),DEC2HEX(H38,3)),CONCATENATE(DEC2HEX(240,2),DEC2HEX(I38,1),DEC2HEX(H38,5)))</f>
        <v>0024</v>
      </c>
      <c r="K38" s="99">
        <v>0</v>
      </c>
      <c r="L38" s="99">
        <f>IF(I38=6,(LEN(K38)+1)*8,IF(I38=7,(1 + HEX2DEC(MID(K38,3,FIND(",",K38)-3)))*8,IF(I38=14,(LEN(K38)+1)*16,IF(I38=15,(1 + HEX2DEC(MID(K38,3,FIND(",",K38)-3)))*16,VLOOKUP(G38,m2mFormatLUT!$B$2:$D$17,3,FALSE)))))</f>
        <v>1</v>
      </c>
    </row>
    <row r="39" spans="1:12" x14ac:dyDescent="0.55000000000000004">
      <c r="A39" s="99" t="s">
        <v>383</v>
      </c>
      <c r="B39" s="105" t="s">
        <v>384</v>
      </c>
      <c r="C39" s="100" t="s">
        <v>265</v>
      </c>
      <c r="D39" s="106" t="s">
        <v>94</v>
      </c>
      <c r="E39" s="101" t="s">
        <v>1152</v>
      </c>
      <c r="F39" s="102">
        <v>0</v>
      </c>
      <c r="G39" s="100" t="s">
        <v>1153</v>
      </c>
      <c r="H39" s="99">
        <v>37</v>
      </c>
      <c r="I39" s="99">
        <f>VLOOKUP(G39,m2mFormatLUT!$B$2:$D$17,2,FALSE)</f>
        <v>0</v>
      </c>
      <c r="J39" s="99" t="str">
        <f>IF(E39=m2mFormatLUT!$A$2,CONCATENATE(DEC2HEX(I39,1),DEC2HEX(H39,3)),CONCATENATE(DEC2HEX(240,2),DEC2HEX(I39,1),DEC2HEX(H39,5)))</f>
        <v>0025</v>
      </c>
      <c r="K39" s="99">
        <v>0</v>
      </c>
      <c r="L39" s="99">
        <f>IF(I39=6,(LEN(K39)+1)*8,IF(I39=7,(1 + HEX2DEC(MID(K39,3,FIND(",",K39)-3)))*8,IF(I39=14,(LEN(K39)+1)*16,IF(I39=15,(1 + HEX2DEC(MID(K39,3,FIND(",",K39)-3)))*16,VLOOKUP(G39,m2mFormatLUT!$B$2:$D$17,3,FALSE)))))</f>
        <v>1</v>
      </c>
    </row>
    <row r="40" spans="1:12" x14ac:dyDescent="0.55000000000000004">
      <c r="A40" s="99" t="s">
        <v>385</v>
      </c>
      <c r="B40" s="105" t="s">
        <v>386</v>
      </c>
      <c r="C40" s="100" t="s">
        <v>265</v>
      </c>
      <c r="D40" s="106" t="s">
        <v>94</v>
      </c>
      <c r="E40" s="101" t="s">
        <v>1152</v>
      </c>
      <c r="F40" s="102">
        <v>0</v>
      </c>
      <c r="G40" s="100" t="s">
        <v>1153</v>
      </c>
      <c r="H40" s="99">
        <v>38</v>
      </c>
      <c r="I40" s="99">
        <f>VLOOKUP(G40,m2mFormatLUT!$B$2:$D$17,2,FALSE)</f>
        <v>0</v>
      </c>
      <c r="J40" s="99" t="str">
        <f>IF(E40=m2mFormatLUT!$A$2,CONCATENATE(DEC2HEX(I40,1),DEC2HEX(H40,3)),CONCATENATE(DEC2HEX(240,2),DEC2HEX(I40,1),DEC2HEX(H40,5)))</f>
        <v>0026</v>
      </c>
      <c r="K40" s="99">
        <v>0</v>
      </c>
      <c r="L40" s="99">
        <f>IF(I40=6,(LEN(K40)+1)*8,IF(I40=7,(1 + HEX2DEC(MID(K40,3,FIND(",",K40)-3)))*8,IF(I40=14,(LEN(K40)+1)*16,IF(I40=15,(1 + HEX2DEC(MID(K40,3,FIND(",",K40)-3)))*16,VLOOKUP(G40,m2mFormatLUT!$B$2:$D$17,3,FALSE)))))</f>
        <v>1</v>
      </c>
    </row>
    <row r="41" spans="1:12" x14ac:dyDescent="0.55000000000000004">
      <c r="A41" s="99" t="s">
        <v>387</v>
      </c>
      <c r="B41" s="105" t="s">
        <v>388</v>
      </c>
      <c r="C41" s="100" t="s">
        <v>265</v>
      </c>
      <c r="D41" s="106" t="s">
        <v>94</v>
      </c>
      <c r="E41" s="101" t="s">
        <v>1152</v>
      </c>
      <c r="F41" s="102">
        <v>0</v>
      </c>
      <c r="G41" s="100" t="s">
        <v>1153</v>
      </c>
      <c r="H41" s="99">
        <v>39</v>
      </c>
      <c r="I41" s="99">
        <f>VLOOKUP(G41,m2mFormatLUT!$B$2:$D$17,2,FALSE)</f>
        <v>0</v>
      </c>
      <c r="J41" s="99" t="str">
        <f>IF(E41=m2mFormatLUT!$A$2,CONCATENATE(DEC2HEX(I41,1),DEC2HEX(H41,3)),CONCATENATE(DEC2HEX(240,2),DEC2HEX(I41,1),DEC2HEX(H41,5)))</f>
        <v>0027</v>
      </c>
      <c r="K41" s="99">
        <v>0</v>
      </c>
      <c r="L41" s="99">
        <f>IF(I41=6,(LEN(K41)+1)*8,IF(I41=7,(1 + HEX2DEC(MID(K41,3,FIND(",",K41)-3)))*8,IF(I41=14,(LEN(K41)+1)*16,IF(I41=15,(1 + HEX2DEC(MID(K41,3,FIND(",",K41)-3)))*16,VLOOKUP(G41,m2mFormatLUT!$B$2:$D$17,3,FALSE)))))</f>
        <v>1</v>
      </c>
    </row>
    <row r="42" spans="1:12" x14ac:dyDescent="0.55000000000000004">
      <c r="A42" s="99" t="s">
        <v>389</v>
      </c>
      <c r="B42" s="105" t="s">
        <v>390</v>
      </c>
      <c r="C42" s="100" t="s">
        <v>265</v>
      </c>
      <c r="D42" s="106" t="s">
        <v>94</v>
      </c>
      <c r="E42" s="101" t="s">
        <v>1152</v>
      </c>
      <c r="F42" s="102">
        <v>0</v>
      </c>
      <c r="G42" s="100" t="s">
        <v>1153</v>
      </c>
      <c r="H42" s="99">
        <v>40</v>
      </c>
      <c r="I42" s="99">
        <f>VLOOKUP(G42,m2mFormatLUT!$B$2:$D$17,2,FALSE)</f>
        <v>0</v>
      </c>
      <c r="J42" s="99" t="str">
        <f>IF(E42=m2mFormatLUT!$A$2,CONCATENATE(DEC2HEX(I42,1),DEC2HEX(H42,3)),CONCATENATE(DEC2HEX(240,2),DEC2HEX(I42,1),DEC2HEX(H42,5)))</f>
        <v>0028</v>
      </c>
      <c r="K42" s="99">
        <v>0</v>
      </c>
      <c r="L42" s="99">
        <f>IF(I42=6,(LEN(K42)+1)*8,IF(I42=7,(1 + HEX2DEC(MID(K42,3,FIND(",",K42)-3)))*8,IF(I42=14,(LEN(K42)+1)*16,IF(I42=15,(1 + HEX2DEC(MID(K42,3,FIND(",",K42)-3)))*16,VLOOKUP(G42,m2mFormatLUT!$B$2:$D$17,3,FALSE)))))</f>
        <v>1</v>
      </c>
    </row>
    <row r="43" spans="1:12" x14ac:dyDescent="0.55000000000000004">
      <c r="A43" s="99" t="s">
        <v>391</v>
      </c>
      <c r="B43" s="100" t="s">
        <v>392</v>
      </c>
      <c r="C43" s="100" t="s">
        <v>265</v>
      </c>
      <c r="D43" s="101" t="s">
        <v>94</v>
      </c>
      <c r="E43" s="101" t="s">
        <v>1152</v>
      </c>
      <c r="F43" s="102">
        <v>0</v>
      </c>
      <c r="G43" s="100" t="s">
        <v>1153</v>
      </c>
      <c r="H43" s="99">
        <v>41</v>
      </c>
      <c r="I43" s="99">
        <f>VLOOKUP(G43,m2mFormatLUT!$B$2:$D$17,2,FALSE)</f>
        <v>0</v>
      </c>
      <c r="J43" s="99" t="str">
        <f>IF(E43=m2mFormatLUT!$A$2,CONCATENATE(DEC2HEX(I43,1),DEC2HEX(H43,3)),CONCATENATE(DEC2HEX(240,2),DEC2HEX(I43,1),DEC2HEX(H43,5)))</f>
        <v>0029</v>
      </c>
      <c r="K43" s="99">
        <v>0</v>
      </c>
      <c r="L43" s="99">
        <f>IF(I43=6,(LEN(K43)+1)*8,IF(I43=7,(1 + HEX2DEC(MID(K43,3,FIND(",",K43)-3)))*8,IF(I43=14,(LEN(K43)+1)*16,IF(I43=15,(1 + HEX2DEC(MID(K43,3,FIND(",",K43)-3)))*16,VLOOKUP(G43,m2mFormatLUT!$B$2:$D$17,3,FALSE)))))</f>
        <v>1</v>
      </c>
    </row>
    <row r="44" spans="1:12" x14ac:dyDescent="0.55000000000000004">
      <c r="A44" s="99" t="s">
        <v>393</v>
      </c>
      <c r="B44" s="100" t="s">
        <v>394</v>
      </c>
      <c r="C44" s="100" t="s">
        <v>265</v>
      </c>
      <c r="D44" s="101" t="s">
        <v>94</v>
      </c>
      <c r="E44" s="101" t="s">
        <v>1152</v>
      </c>
      <c r="F44" s="102">
        <v>0</v>
      </c>
      <c r="G44" s="100" t="s">
        <v>1153</v>
      </c>
      <c r="H44" s="99">
        <v>42</v>
      </c>
      <c r="I44" s="99">
        <f>VLOOKUP(G44,m2mFormatLUT!$B$2:$D$17,2,FALSE)</f>
        <v>0</v>
      </c>
      <c r="J44" s="99" t="str">
        <f>IF(E44=m2mFormatLUT!$A$2,CONCATENATE(DEC2HEX(I44,1),DEC2HEX(H44,3)),CONCATENATE(DEC2HEX(240,2),DEC2HEX(I44,1),DEC2HEX(H44,5)))</f>
        <v>002A</v>
      </c>
      <c r="K44" s="99">
        <v>0</v>
      </c>
      <c r="L44" s="99">
        <f>IF(I44=6,(LEN(K44)+1)*8,IF(I44=7,(1 + HEX2DEC(MID(K44,3,FIND(",",K44)-3)))*8,IF(I44=14,(LEN(K44)+1)*16,IF(I44=15,(1 + HEX2DEC(MID(K44,3,FIND(",",K44)-3)))*16,VLOOKUP(G44,m2mFormatLUT!$B$2:$D$17,3,FALSE)))))</f>
        <v>1</v>
      </c>
    </row>
    <row r="45" spans="1:12" x14ac:dyDescent="0.55000000000000004">
      <c r="A45" s="99" t="s">
        <v>395</v>
      </c>
      <c r="B45" s="100" t="s">
        <v>396</v>
      </c>
      <c r="C45" s="100" t="s">
        <v>265</v>
      </c>
      <c r="D45" s="101" t="s">
        <v>94</v>
      </c>
      <c r="E45" s="101" t="s">
        <v>1152</v>
      </c>
      <c r="F45" s="102">
        <v>0</v>
      </c>
      <c r="G45" s="100" t="s">
        <v>1153</v>
      </c>
      <c r="H45" s="99">
        <v>43</v>
      </c>
      <c r="I45" s="99">
        <f>VLOOKUP(G45,m2mFormatLUT!$B$2:$D$17,2,FALSE)</f>
        <v>0</v>
      </c>
      <c r="J45" s="99" t="str">
        <f>IF(E45=m2mFormatLUT!$A$2,CONCATENATE(DEC2HEX(I45,1),DEC2HEX(H45,3)),CONCATENATE(DEC2HEX(240,2),DEC2HEX(I45,1),DEC2HEX(H45,5)))</f>
        <v>002B</v>
      </c>
      <c r="K45" s="99">
        <v>0</v>
      </c>
      <c r="L45" s="99">
        <f>IF(I45=6,(LEN(K45)+1)*8,IF(I45=7,(1 + HEX2DEC(MID(K45,3,FIND(",",K45)-3)))*8,IF(I45=14,(LEN(K45)+1)*16,IF(I45=15,(1 + HEX2DEC(MID(K45,3,FIND(",",K45)-3)))*16,VLOOKUP(G45,m2mFormatLUT!$B$2:$D$17,3,FALSE)))))</f>
        <v>1</v>
      </c>
    </row>
    <row r="46" spans="1:12" x14ac:dyDescent="0.55000000000000004">
      <c r="A46" s="99" t="s">
        <v>397</v>
      </c>
      <c r="B46" s="100" t="s">
        <v>398</v>
      </c>
      <c r="C46" s="100" t="s">
        <v>265</v>
      </c>
      <c r="D46" s="101" t="s">
        <v>94</v>
      </c>
      <c r="E46" s="101" t="s">
        <v>1152</v>
      </c>
      <c r="F46" s="102">
        <v>0</v>
      </c>
      <c r="G46" s="100" t="s">
        <v>1153</v>
      </c>
      <c r="H46" s="99">
        <v>44</v>
      </c>
      <c r="I46" s="99">
        <f>VLOOKUP(G46,m2mFormatLUT!$B$2:$D$17,2,FALSE)</f>
        <v>0</v>
      </c>
      <c r="J46" s="99" t="str">
        <f>IF(E46=m2mFormatLUT!$A$2,CONCATENATE(DEC2HEX(I46,1),DEC2HEX(H46,3)),CONCATENATE(DEC2HEX(240,2),DEC2HEX(I46,1),DEC2HEX(H46,5)))</f>
        <v>002C</v>
      </c>
      <c r="K46" s="99">
        <v>0</v>
      </c>
      <c r="L46" s="99">
        <f>IF(I46=6,(LEN(K46)+1)*8,IF(I46=7,(1 + HEX2DEC(MID(K46,3,FIND(",",K46)-3)))*8,IF(I46=14,(LEN(K46)+1)*16,IF(I46=15,(1 + HEX2DEC(MID(K46,3,FIND(",",K46)-3)))*16,VLOOKUP(G46,m2mFormatLUT!$B$2:$D$17,3,FALSE)))))</f>
        <v>1</v>
      </c>
    </row>
    <row r="47" spans="1:12" x14ac:dyDescent="0.55000000000000004">
      <c r="A47" s="99" t="s">
        <v>399</v>
      </c>
      <c r="B47" s="100" t="s">
        <v>400</v>
      </c>
      <c r="C47" s="100" t="s">
        <v>265</v>
      </c>
      <c r="D47" s="101" t="s">
        <v>94</v>
      </c>
      <c r="E47" s="101" t="s">
        <v>1152</v>
      </c>
      <c r="F47" s="102">
        <v>0</v>
      </c>
      <c r="G47" s="100" t="s">
        <v>1153</v>
      </c>
      <c r="H47" s="99">
        <v>45</v>
      </c>
      <c r="I47" s="99">
        <f>VLOOKUP(G47,m2mFormatLUT!$B$2:$D$17,2,FALSE)</f>
        <v>0</v>
      </c>
      <c r="J47" s="99" t="str">
        <f>IF(E47=m2mFormatLUT!$A$2,CONCATENATE(DEC2HEX(I47,1),DEC2HEX(H47,3)),CONCATENATE(DEC2HEX(240,2),DEC2HEX(I47,1),DEC2HEX(H47,5)))</f>
        <v>002D</v>
      </c>
      <c r="K47" s="99">
        <v>0</v>
      </c>
      <c r="L47" s="99">
        <f>IF(I47=6,(LEN(K47)+1)*8,IF(I47=7,(1 + HEX2DEC(MID(K47,3,FIND(",",K47)-3)))*8,IF(I47=14,(LEN(K47)+1)*16,IF(I47=15,(1 + HEX2DEC(MID(K47,3,FIND(",",K47)-3)))*16,VLOOKUP(G47,m2mFormatLUT!$B$2:$D$17,3,FALSE)))))</f>
        <v>1</v>
      </c>
    </row>
    <row r="48" spans="1:12" x14ac:dyDescent="0.55000000000000004">
      <c r="A48" s="99" t="s">
        <v>401</v>
      </c>
      <c r="B48" s="100" t="s">
        <v>402</v>
      </c>
      <c r="C48" s="100" t="s">
        <v>265</v>
      </c>
      <c r="D48" s="101" t="s">
        <v>94</v>
      </c>
      <c r="E48" s="101" t="s">
        <v>1152</v>
      </c>
      <c r="F48" s="102">
        <v>0</v>
      </c>
      <c r="G48" s="100" t="s">
        <v>1153</v>
      </c>
      <c r="H48" s="99">
        <v>46</v>
      </c>
      <c r="I48" s="99">
        <f>VLOOKUP(G48,m2mFormatLUT!$B$2:$D$17,2,FALSE)</f>
        <v>0</v>
      </c>
      <c r="J48" s="99" t="str">
        <f>IF(E48=m2mFormatLUT!$A$2,CONCATENATE(DEC2HEX(I48,1),DEC2HEX(H48,3)),CONCATENATE(DEC2HEX(240,2),DEC2HEX(I48,1),DEC2HEX(H48,5)))</f>
        <v>002E</v>
      </c>
      <c r="K48" s="99">
        <v>0</v>
      </c>
      <c r="L48" s="99">
        <f>IF(I48=6,(LEN(K48)+1)*8,IF(I48=7,(1 + HEX2DEC(MID(K48,3,FIND(",",K48)-3)))*8,IF(I48=14,(LEN(K48)+1)*16,IF(I48=15,(1 + HEX2DEC(MID(K48,3,FIND(",",K48)-3)))*16,VLOOKUP(G48,m2mFormatLUT!$B$2:$D$17,3,FALSE)))))</f>
        <v>1</v>
      </c>
    </row>
    <row r="49" spans="1:12" x14ac:dyDescent="0.55000000000000004">
      <c r="A49" s="99" t="s">
        <v>403</v>
      </c>
      <c r="B49" s="100" t="s">
        <v>404</v>
      </c>
      <c r="C49" s="100" t="s">
        <v>265</v>
      </c>
      <c r="D49" s="101" t="s">
        <v>94</v>
      </c>
      <c r="E49" s="101" t="s">
        <v>1152</v>
      </c>
      <c r="F49" s="102">
        <v>0</v>
      </c>
      <c r="G49" s="100" t="s">
        <v>1153</v>
      </c>
      <c r="H49" s="99">
        <v>47</v>
      </c>
      <c r="I49" s="99">
        <f>VLOOKUP(G49,m2mFormatLUT!$B$2:$D$17,2,FALSE)</f>
        <v>0</v>
      </c>
      <c r="J49" s="99" t="str">
        <f>IF(E49=m2mFormatLUT!$A$2,CONCATENATE(DEC2HEX(I49,1),DEC2HEX(H49,3)),CONCATENATE(DEC2HEX(240,2),DEC2HEX(I49,1),DEC2HEX(H49,5)))</f>
        <v>002F</v>
      </c>
      <c r="K49" s="99">
        <v>0</v>
      </c>
      <c r="L49" s="99">
        <f>IF(I49=6,(LEN(K49)+1)*8,IF(I49=7,(1 + HEX2DEC(MID(K49,3,FIND(",",K49)-3)))*8,IF(I49=14,(LEN(K49)+1)*16,IF(I49=15,(1 + HEX2DEC(MID(K49,3,FIND(",",K49)-3)))*16,VLOOKUP(G49,m2mFormatLUT!$B$2:$D$17,3,FALSE)))))</f>
        <v>1</v>
      </c>
    </row>
    <row r="50" spans="1:12" x14ac:dyDescent="0.55000000000000004">
      <c r="A50" s="99" t="s">
        <v>405</v>
      </c>
      <c r="B50" s="100" t="s">
        <v>406</v>
      </c>
      <c r="C50" s="100" t="s">
        <v>265</v>
      </c>
      <c r="D50" s="101" t="s">
        <v>94</v>
      </c>
      <c r="E50" s="101" t="s">
        <v>1152</v>
      </c>
      <c r="F50" s="102">
        <v>0</v>
      </c>
      <c r="G50" s="100" t="s">
        <v>1153</v>
      </c>
      <c r="H50" s="99">
        <v>48</v>
      </c>
      <c r="I50" s="99">
        <f>VLOOKUP(G50,m2mFormatLUT!$B$2:$D$17,2,FALSE)</f>
        <v>0</v>
      </c>
      <c r="J50" s="99" t="str">
        <f>IF(E50=m2mFormatLUT!$A$2,CONCATENATE(DEC2HEX(I50,1),DEC2HEX(H50,3)),CONCATENATE(DEC2HEX(240,2),DEC2HEX(I50,1),DEC2HEX(H50,5)))</f>
        <v>0030</v>
      </c>
      <c r="K50" s="99">
        <v>0</v>
      </c>
      <c r="L50" s="99">
        <f>IF(I50=6,(LEN(K50)+1)*8,IF(I50=7,(1 + HEX2DEC(MID(K50,3,FIND(",",K50)-3)))*8,IF(I50=14,(LEN(K50)+1)*16,IF(I50=15,(1 + HEX2DEC(MID(K50,3,FIND(",",K50)-3)))*16,VLOOKUP(G50,m2mFormatLUT!$B$2:$D$17,3,FALSE)))))</f>
        <v>1</v>
      </c>
    </row>
    <row r="51" spans="1:12" x14ac:dyDescent="0.55000000000000004">
      <c r="A51" s="99" t="s">
        <v>407</v>
      </c>
      <c r="B51" s="105" t="s">
        <v>408</v>
      </c>
      <c r="C51" s="100" t="s">
        <v>265</v>
      </c>
      <c r="D51" s="106" t="s">
        <v>94</v>
      </c>
      <c r="E51" s="101" t="s">
        <v>1152</v>
      </c>
      <c r="F51" s="102">
        <v>0</v>
      </c>
      <c r="G51" s="100" t="s">
        <v>1153</v>
      </c>
      <c r="H51" s="99">
        <v>49</v>
      </c>
      <c r="I51" s="99">
        <f>VLOOKUP(G51,m2mFormatLUT!$B$2:$D$17,2,FALSE)</f>
        <v>0</v>
      </c>
      <c r="J51" s="99" t="str">
        <f>IF(E51=m2mFormatLUT!$A$2,CONCATENATE(DEC2HEX(I51,1),DEC2HEX(H51,3)),CONCATENATE(DEC2HEX(240,2),DEC2HEX(I51,1),DEC2HEX(H51,5)))</f>
        <v>0031</v>
      </c>
      <c r="K51" s="99">
        <v>0</v>
      </c>
      <c r="L51" s="99">
        <f>IF(I51=6,(LEN(K51)+1)*8,IF(I51=7,(1 + HEX2DEC(MID(K51,3,FIND(",",K51)-3)))*8,IF(I51=14,(LEN(K51)+1)*16,IF(I51=15,(1 + HEX2DEC(MID(K51,3,FIND(",",K51)-3)))*16,VLOOKUP(G51,m2mFormatLUT!$B$2:$D$17,3,FALSE)))))</f>
        <v>1</v>
      </c>
    </row>
    <row r="52" spans="1:12" x14ac:dyDescent="0.55000000000000004">
      <c r="A52" s="99" t="s">
        <v>409</v>
      </c>
      <c r="B52" s="105" t="s">
        <v>410</v>
      </c>
      <c r="C52" s="100" t="s">
        <v>265</v>
      </c>
      <c r="D52" s="106" t="s">
        <v>94</v>
      </c>
      <c r="E52" s="101" t="s">
        <v>1152</v>
      </c>
      <c r="F52" s="102">
        <v>0</v>
      </c>
      <c r="G52" s="100" t="s">
        <v>1153</v>
      </c>
      <c r="H52" s="99">
        <v>50</v>
      </c>
      <c r="I52" s="99">
        <f>VLOOKUP(G52,m2mFormatLUT!$B$2:$D$17,2,FALSE)</f>
        <v>0</v>
      </c>
      <c r="J52" s="99" t="str">
        <f>IF(E52=m2mFormatLUT!$A$2,CONCATENATE(DEC2HEX(I52,1),DEC2HEX(H52,3)),CONCATENATE(DEC2HEX(240,2),DEC2HEX(I52,1),DEC2HEX(H52,5)))</f>
        <v>0032</v>
      </c>
      <c r="K52" s="99">
        <v>0</v>
      </c>
      <c r="L52" s="99">
        <f>IF(I52=6,(LEN(K52)+1)*8,IF(I52=7,(1 + HEX2DEC(MID(K52,3,FIND(",",K52)-3)))*8,IF(I52=14,(LEN(K52)+1)*16,IF(I52=15,(1 + HEX2DEC(MID(K52,3,FIND(",",K52)-3)))*16,VLOOKUP(G52,m2mFormatLUT!$B$2:$D$17,3,FALSE)))))</f>
        <v>1</v>
      </c>
    </row>
    <row r="53" spans="1:12" x14ac:dyDescent="0.55000000000000004">
      <c r="A53" s="99" t="s">
        <v>411</v>
      </c>
      <c r="B53" s="105" t="s">
        <v>412</v>
      </c>
      <c r="C53" s="100" t="s">
        <v>265</v>
      </c>
      <c r="D53" s="106" t="s">
        <v>94</v>
      </c>
      <c r="E53" s="101" t="s">
        <v>1152</v>
      </c>
      <c r="F53" s="102">
        <v>0</v>
      </c>
      <c r="G53" s="100" t="s">
        <v>1153</v>
      </c>
      <c r="H53" s="99">
        <v>51</v>
      </c>
      <c r="I53" s="99">
        <f>VLOOKUP(G53,m2mFormatLUT!$B$2:$D$17,2,FALSE)</f>
        <v>0</v>
      </c>
      <c r="J53" s="99" t="str">
        <f>IF(E53=m2mFormatLUT!$A$2,CONCATENATE(DEC2HEX(I53,1),DEC2HEX(H53,3)),CONCATENATE(DEC2HEX(240,2),DEC2HEX(I53,1),DEC2HEX(H53,5)))</f>
        <v>0033</v>
      </c>
      <c r="K53" s="99">
        <v>0</v>
      </c>
      <c r="L53" s="99">
        <f>IF(I53=6,(LEN(K53)+1)*8,IF(I53=7,(1 + HEX2DEC(MID(K53,3,FIND(",",K53)-3)))*8,IF(I53=14,(LEN(K53)+1)*16,IF(I53=15,(1 + HEX2DEC(MID(K53,3,FIND(",",K53)-3)))*16,VLOOKUP(G53,m2mFormatLUT!$B$2:$D$17,3,FALSE)))))</f>
        <v>1</v>
      </c>
    </row>
    <row r="54" spans="1:12" x14ac:dyDescent="0.55000000000000004">
      <c r="A54" s="99" t="s">
        <v>413</v>
      </c>
      <c r="B54" s="105" t="s">
        <v>414</v>
      </c>
      <c r="C54" s="100" t="s">
        <v>265</v>
      </c>
      <c r="D54" s="106" t="s">
        <v>94</v>
      </c>
      <c r="E54" s="101" t="s">
        <v>1152</v>
      </c>
      <c r="F54" s="102">
        <v>0</v>
      </c>
      <c r="G54" s="100" t="s">
        <v>1153</v>
      </c>
      <c r="H54" s="99">
        <v>52</v>
      </c>
      <c r="I54" s="99">
        <f>VLOOKUP(G54,m2mFormatLUT!$B$2:$D$17,2,FALSE)</f>
        <v>0</v>
      </c>
      <c r="J54" s="99" t="str">
        <f>IF(E54=m2mFormatLUT!$A$2,CONCATENATE(DEC2HEX(I54,1),DEC2HEX(H54,3)),CONCATENATE(DEC2HEX(240,2),DEC2HEX(I54,1),DEC2HEX(H54,5)))</f>
        <v>0034</v>
      </c>
      <c r="K54" s="99">
        <v>0</v>
      </c>
      <c r="L54" s="99">
        <f>IF(I54=6,(LEN(K54)+1)*8,IF(I54=7,(1 + HEX2DEC(MID(K54,3,FIND(",",K54)-3)))*8,IF(I54=14,(LEN(K54)+1)*16,IF(I54=15,(1 + HEX2DEC(MID(K54,3,FIND(",",K54)-3)))*16,VLOOKUP(G54,m2mFormatLUT!$B$2:$D$17,3,FALSE)))))</f>
        <v>1</v>
      </c>
    </row>
    <row r="55" spans="1:12" x14ac:dyDescent="0.55000000000000004">
      <c r="A55" s="99" t="s">
        <v>415</v>
      </c>
      <c r="B55" s="105" t="s">
        <v>416</v>
      </c>
      <c r="C55" s="100" t="s">
        <v>265</v>
      </c>
      <c r="D55" s="106" t="s">
        <v>94</v>
      </c>
      <c r="E55" s="101" t="s">
        <v>1152</v>
      </c>
      <c r="F55" s="102">
        <v>0</v>
      </c>
      <c r="G55" s="100" t="s">
        <v>1153</v>
      </c>
      <c r="H55" s="99">
        <v>53</v>
      </c>
      <c r="I55" s="99">
        <f>VLOOKUP(G55,m2mFormatLUT!$B$2:$D$17,2,FALSE)</f>
        <v>0</v>
      </c>
      <c r="J55" s="99" t="str">
        <f>IF(E55=m2mFormatLUT!$A$2,CONCATENATE(DEC2HEX(I55,1),DEC2HEX(H55,3)),CONCATENATE(DEC2HEX(240,2),DEC2HEX(I55,1),DEC2HEX(H55,5)))</f>
        <v>0035</v>
      </c>
      <c r="K55" s="99">
        <v>0</v>
      </c>
      <c r="L55" s="99">
        <f>IF(I55=6,(LEN(K55)+1)*8,IF(I55=7,(1 + HEX2DEC(MID(K55,3,FIND(",",K55)-3)))*8,IF(I55=14,(LEN(K55)+1)*16,IF(I55=15,(1 + HEX2DEC(MID(K55,3,FIND(",",K55)-3)))*16,VLOOKUP(G55,m2mFormatLUT!$B$2:$D$17,3,FALSE)))))</f>
        <v>1</v>
      </c>
    </row>
    <row r="56" spans="1:12" x14ac:dyDescent="0.55000000000000004">
      <c r="A56" s="99" t="s">
        <v>417</v>
      </c>
      <c r="B56" s="105" t="s">
        <v>418</v>
      </c>
      <c r="C56" s="100" t="s">
        <v>265</v>
      </c>
      <c r="D56" s="106" t="s">
        <v>94</v>
      </c>
      <c r="E56" s="101" t="s">
        <v>1152</v>
      </c>
      <c r="F56" s="102">
        <v>0</v>
      </c>
      <c r="G56" s="100" t="s">
        <v>1153</v>
      </c>
      <c r="H56" s="99">
        <v>54</v>
      </c>
      <c r="I56" s="99">
        <f>VLOOKUP(G56,m2mFormatLUT!$B$2:$D$17,2,FALSE)</f>
        <v>0</v>
      </c>
      <c r="J56" s="99" t="str">
        <f>IF(E56=m2mFormatLUT!$A$2,CONCATENATE(DEC2HEX(I56,1),DEC2HEX(H56,3)),CONCATENATE(DEC2HEX(240,2),DEC2HEX(I56,1),DEC2HEX(H56,5)))</f>
        <v>0036</v>
      </c>
      <c r="K56" s="99">
        <v>0</v>
      </c>
      <c r="L56" s="99">
        <f>IF(I56=6,(LEN(K56)+1)*8,IF(I56=7,(1 + HEX2DEC(MID(K56,3,FIND(",",K56)-3)))*8,IF(I56=14,(LEN(K56)+1)*16,IF(I56=15,(1 + HEX2DEC(MID(K56,3,FIND(",",K56)-3)))*16,VLOOKUP(G56,m2mFormatLUT!$B$2:$D$17,3,FALSE)))))</f>
        <v>1</v>
      </c>
    </row>
    <row r="57" spans="1:12" x14ac:dyDescent="0.55000000000000004">
      <c r="A57" s="99" t="s">
        <v>419</v>
      </c>
      <c r="B57" s="105" t="s">
        <v>420</v>
      </c>
      <c r="C57" s="100" t="s">
        <v>265</v>
      </c>
      <c r="D57" s="106" t="s">
        <v>94</v>
      </c>
      <c r="E57" s="101" t="s">
        <v>1152</v>
      </c>
      <c r="F57" s="102">
        <v>0</v>
      </c>
      <c r="G57" s="100" t="s">
        <v>1153</v>
      </c>
      <c r="H57" s="99">
        <v>55</v>
      </c>
      <c r="I57" s="99">
        <f>VLOOKUP(G57,m2mFormatLUT!$B$2:$D$17,2,FALSE)</f>
        <v>0</v>
      </c>
      <c r="J57" s="99" t="str">
        <f>IF(E57=m2mFormatLUT!$A$2,CONCATENATE(DEC2HEX(I57,1),DEC2HEX(H57,3)),CONCATENATE(DEC2HEX(240,2),DEC2HEX(I57,1),DEC2HEX(H57,5)))</f>
        <v>0037</v>
      </c>
      <c r="K57" s="99">
        <v>0</v>
      </c>
      <c r="L57" s="99">
        <f>IF(I57=6,(LEN(K57)+1)*8,IF(I57=7,(1 + HEX2DEC(MID(K57,3,FIND(",",K57)-3)))*8,IF(I57=14,(LEN(K57)+1)*16,IF(I57=15,(1 + HEX2DEC(MID(K57,3,FIND(",",K57)-3)))*16,VLOOKUP(G57,m2mFormatLUT!$B$2:$D$17,3,FALSE)))))</f>
        <v>1</v>
      </c>
    </row>
    <row r="58" spans="1:12" x14ac:dyDescent="0.55000000000000004">
      <c r="A58" s="99" t="s">
        <v>421</v>
      </c>
      <c r="B58" s="105" t="s">
        <v>422</v>
      </c>
      <c r="C58" s="100" t="s">
        <v>265</v>
      </c>
      <c r="D58" s="106" t="s">
        <v>94</v>
      </c>
      <c r="E58" s="101" t="s">
        <v>1152</v>
      </c>
      <c r="F58" s="102">
        <v>0</v>
      </c>
      <c r="G58" s="100" t="s">
        <v>1153</v>
      </c>
      <c r="H58" s="99">
        <v>56</v>
      </c>
      <c r="I58" s="99">
        <f>VLOOKUP(G58,m2mFormatLUT!$B$2:$D$17,2,FALSE)</f>
        <v>0</v>
      </c>
      <c r="J58" s="99" t="str">
        <f>IF(E58=m2mFormatLUT!$A$2,CONCATENATE(DEC2HEX(I58,1),DEC2HEX(H58,3)),CONCATENATE(DEC2HEX(240,2),DEC2HEX(I58,1),DEC2HEX(H58,5)))</f>
        <v>0038</v>
      </c>
      <c r="K58" s="99">
        <v>0</v>
      </c>
      <c r="L58" s="99">
        <f>IF(I58=6,(LEN(K58)+1)*8,IF(I58=7,(1 + HEX2DEC(MID(K58,3,FIND(",",K58)-3)))*8,IF(I58=14,(LEN(K58)+1)*16,IF(I58=15,(1 + HEX2DEC(MID(K58,3,FIND(",",K58)-3)))*16,VLOOKUP(G58,m2mFormatLUT!$B$2:$D$17,3,FALSE)))))</f>
        <v>1</v>
      </c>
    </row>
    <row r="59" spans="1:12" x14ac:dyDescent="0.55000000000000004">
      <c r="A59" s="99" t="s">
        <v>423</v>
      </c>
      <c r="B59" s="105" t="s">
        <v>424</v>
      </c>
      <c r="C59" s="100" t="s">
        <v>265</v>
      </c>
      <c r="D59" s="106" t="s">
        <v>94</v>
      </c>
      <c r="E59" s="101" t="s">
        <v>1152</v>
      </c>
      <c r="F59" s="102">
        <v>0</v>
      </c>
      <c r="G59" s="100" t="s">
        <v>1153</v>
      </c>
      <c r="H59" s="99">
        <v>57</v>
      </c>
      <c r="I59" s="99">
        <f>VLOOKUP(G59,m2mFormatLUT!$B$2:$D$17,2,FALSE)</f>
        <v>0</v>
      </c>
      <c r="J59" s="99" t="str">
        <f>IF(E59=m2mFormatLUT!$A$2,CONCATENATE(DEC2HEX(I59,1),DEC2HEX(H59,3)),CONCATENATE(DEC2HEX(240,2),DEC2HEX(I59,1),DEC2HEX(H59,5)))</f>
        <v>0039</v>
      </c>
      <c r="K59" s="99">
        <v>0</v>
      </c>
      <c r="L59" s="99">
        <f>IF(I59=6,(LEN(K59)+1)*8,IF(I59=7,(1 + HEX2DEC(MID(K59,3,FIND(",",K59)-3)))*8,IF(I59=14,(LEN(K59)+1)*16,IF(I59=15,(1 + HEX2DEC(MID(K59,3,FIND(",",K59)-3)))*16,VLOOKUP(G59,m2mFormatLUT!$B$2:$D$17,3,FALSE)))))</f>
        <v>1</v>
      </c>
    </row>
    <row r="60" spans="1:12" x14ac:dyDescent="0.55000000000000004">
      <c r="A60" s="99" t="s">
        <v>425</v>
      </c>
      <c r="B60" s="105" t="s">
        <v>426</v>
      </c>
      <c r="C60" s="100" t="s">
        <v>265</v>
      </c>
      <c r="D60" s="106" t="s">
        <v>94</v>
      </c>
      <c r="E60" s="101" t="s">
        <v>1152</v>
      </c>
      <c r="F60" s="102">
        <v>0</v>
      </c>
      <c r="G60" s="100" t="s">
        <v>1153</v>
      </c>
      <c r="H60" s="99">
        <v>58</v>
      </c>
      <c r="I60" s="99">
        <f>VLOOKUP(G60,m2mFormatLUT!$B$2:$D$17,2,FALSE)</f>
        <v>0</v>
      </c>
      <c r="J60" s="99" t="str">
        <f>IF(E60=m2mFormatLUT!$A$2,CONCATENATE(DEC2HEX(I60,1),DEC2HEX(H60,3)),CONCATENATE(DEC2HEX(240,2),DEC2HEX(I60,1),DEC2HEX(H60,5)))</f>
        <v>003A</v>
      </c>
      <c r="K60" s="99">
        <v>0</v>
      </c>
      <c r="L60" s="99">
        <f>IF(I60=6,(LEN(K60)+1)*8,IF(I60=7,(1 + HEX2DEC(MID(K60,3,FIND(",",K60)-3)))*8,IF(I60=14,(LEN(K60)+1)*16,IF(I60=15,(1 + HEX2DEC(MID(K60,3,FIND(",",K60)-3)))*16,VLOOKUP(G60,m2mFormatLUT!$B$2:$D$17,3,FALSE)))))</f>
        <v>1</v>
      </c>
    </row>
    <row r="61" spans="1:12" x14ac:dyDescent="0.55000000000000004">
      <c r="A61" s="99" t="s">
        <v>427</v>
      </c>
      <c r="B61" s="105" t="s">
        <v>428</v>
      </c>
      <c r="C61" s="100" t="s">
        <v>265</v>
      </c>
      <c r="D61" s="106" t="s">
        <v>94</v>
      </c>
      <c r="E61" s="101" t="s">
        <v>1152</v>
      </c>
      <c r="F61" s="102">
        <v>0</v>
      </c>
      <c r="G61" s="100" t="s">
        <v>1153</v>
      </c>
      <c r="H61" s="99">
        <v>59</v>
      </c>
      <c r="I61" s="99">
        <f>VLOOKUP(G61,m2mFormatLUT!$B$2:$D$17,2,FALSE)</f>
        <v>0</v>
      </c>
      <c r="J61" s="99" t="str">
        <f>IF(E61=m2mFormatLUT!$A$2,CONCATENATE(DEC2HEX(I61,1),DEC2HEX(H61,3)),CONCATENATE(DEC2HEX(240,2),DEC2HEX(I61,1),DEC2HEX(H61,5)))</f>
        <v>003B</v>
      </c>
      <c r="K61" s="99">
        <v>0</v>
      </c>
      <c r="L61" s="99">
        <f>IF(I61=6,(LEN(K61)+1)*8,IF(I61=7,(1 + HEX2DEC(MID(K61,3,FIND(",",K61)-3)))*8,IF(I61=14,(LEN(K61)+1)*16,IF(I61=15,(1 + HEX2DEC(MID(K61,3,FIND(",",K61)-3)))*16,VLOOKUP(G61,m2mFormatLUT!$B$2:$D$17,3,FALSE)))))</f>
        <v>1</v>
      </c>
    </row>
    <row r="62" spans="1:12" x14ac:dyDescent="0.55000000000000004">
      <c r="A62" s="99" t="s">
        <v>429</v>
      </c>
      <c r="B62" s="105" t="s">
        <v>430</v>
      </c>
      <c r="C62" s="100" t="s">
        <v>265</v>
      </c>
      <c r="D62" s="106" t="s">
        <v>94</v>
      </c>
      <c r="E62" s="101" t="s">
        <v>1152</v>
      </c>
      <c r="F62" s="102">
        <v>0</v>
      </c>
      <c r="G62" s="100" t="s">
        <v>1153</v>
      </c>
      <c r="H62" s="99">
        <v>60</v>
      </c>
      <c r="I62" s="99">
        <f>VLOOKUP(G62,m2mFormatLUT!$B$2:$D$17,2,FALSE)</f>
        <v>0</v>
      </c>
      <c r="J62" s="99" t="str">
        <f>IF(E62=m2mFormatLUT!$A$2,CONCATENATE(DEC2HEX(I62,1),DEC2HEX(H62,3)),CONCATENATE(DEC2HEX(240,2),DEC2HEX(I62,1),DEC2HEX(H62,5)))</f>
        <v>003C</v>
      </c>
      <c r="K62" s="99">
        <v>0</v>
      </c>
      <c r="L62" s="99">
        <f>IF(I62=6,(LEN(K62)+1)*8,IF(I62=7,(1 + HEX2DEC(MID(K62,3,FIND(",",K62)-3)))*8,IF(I62=14,(LEN(K62)+1)*16,IF(I62=15,(1 + HEX2DEC(MID(K62,3,FIND(",",K62)-3)))*16,VLOOKUP(G62,m2mFormatLUT!$B$2:$D$17,3,FALSE)))))</f>
        <v>1</v>
      </c>
    </row>
    <row r="63" spans="1:12" x14ac:dyDescent="0.55000000000000004">
      <c r="A63" s="99" t="s">
        <v>431</v>
      </c>
      <c r="B63" s="105" t="s">
        <v>432</v>
      </c>
      <c r="C63" s="100" t="s">
        <v>265</v>
      </c>
      <c r="D63" s="106" t="s">
        <v>94</v>
      </c>
      <c r="E63" s="101" t="s">
        <v>1152</v>
      </c>
      <c r="F63" s="102">
        <v>0</v>
      </c>
      <c r="G63" s="100" t="s">
        <v>1153</v>
      </c>
      <c r="H63" s="99">
        <v>61</v>
      </c>
      <c r="I63" s="99">
        <f>VLOOKUP(G63,m2mFormatLUT!$B$2:$D$17,2,FALSE)</f>
        <v>0</v>
      </c>
      <c r="J63" s="99" t="str">
        <f>IF(E63=m2mFormatLUT!$A$2,CONCATENATE(DEC2HEX(I63,1),DEC2HEX(H63,3)),CONCATENATE(DEC2HEX(240,2),DEC2HEX(I63,1),DEC2HEX(H63,5)))</f>
        <v>003D</v>
      </c>
      <c r="K63" s="99">
        <v>0</v>
      </c>
      <c r="L63" s="99">
        <f>IF(I63=6,(LEN(K63)+1)*8,IF(I63=7,(1 + HEX2DEC(MID(K63,3,FIND(",",K63)-3)))*8,IF(I63=14,(LEN(K63)+1)*16,IF(I63=15,(1 + HEX2DEC(MID(K63,3,FIND(",",K63)-3)))*16,VLOOKUP(G63,m2mFormatLUT!$B$2:$D$17,3,FALSE)))))</f>
        <v>1</v>
      </c>
    </row>
    <row r="64" spans="1:12" x14ac:dyDescent="0.55000000000000004">
      <c r="A64" s="99" t="s">
        <v>433</v>
      </c>
      <c r="B64" s="105" t="s">
        <v>434</v>
      </c>
      <c r="C64" s="100" t="s">
        <v>265</v>
      </c>
      <c r="D64" s="106" t="s">
        <v>94</v>
      </c>
      <c r="E64" s="101" t="s">
        <v>1152</v>
      </c>
      <c r="F64" s="102">
        <v>0</v>
      </c>
      <c r="G64" s="100" t="s">
        <v>1153</v>
      </c>
      <c r="H64" s="99">
        <v>62</v>
      </c>
      <c r="I64" s="99">
        <f>VLOOKUP(G64,m2mFormatLUT!$B$2:$D$17,2,FALSE)</f>
        <v>0</v>
      </c>
      <c r="J64" s="99" t="str">
        <f>IF(E64=m2mFormatLUT!$A$2,CONCATENATE(DEC2HEX(I64,1),DEC2HEX(H64,3)),CONCATENATE(DEC2HEX(240,2),DEC2HEX(I64,1),DEC2HEX(H64,5)))</f>
        <v>003E</v>
      </c>
      <c r="K64" s="99">
        <v>0</v>
      </c>
      <c r="L64" s="99">
        <f>IF(I64=6,(LEN(K64)+1)*8,IF(I64=7,(1 + HEX2DEC(MID(K64,3,FIND(",",K64)-3)))*8,IF(I64=14,(LEN(K64)+1)*16,IF(I64=15,(1 + HEX2DEC(MID(K64,3,FIND(",",K64)-3)))*16,VLOOKUP(G64,m2mFormatLUT!$B$2:$D$17,3,FALSE)))))</f>
        <v>1</v>
      </c>
    </row>
    <row r="65" spans="1:12" x14ac:dyDescent="0.55000000000000004">
      <c r="A65" s="99" t="s">
        <v>435</v>
      </c>
      <c r="B65" s="105" t="s">
        <v>436</v>
      </c>
      <c r="C65" s="100" t="s">
        <v>265</v>
      </c>
      <c r="D65" s="106" t="s">
        <v>94</v>
      </c>
      <c r="E65" s="101" t="s">
        <v>1152</v>
      </c>
      <c r="F65" s="102">
        <v>0</v>
      </c>
      <c r="G65" s="100" t="s">
        <v>1153</v>
      </c>
      <c r="H65" s="99">
        <v>63</v>
      </c>
      <c r="I65" s="99">
        <f>VLOOKUP(G65,m2mFormatLUT!$B$2:$D$17,2,FALSE)</f>
        <v>0</v>
      </c>
      <c r="J65" s="99" t="str">
        <f>IF(E65=m2mFormatLUT!$A$2,CONCATENATE(DEC2HEX(I65,1),DEC2HEX(H65,3)),CONCATENATE(DEC2HEX(240,2),DEC2HEX(I65,1),DEC2HEX(H65,5)))</f>
        <v>003F</v>
      </c>
      <c r="K65" s="99">
        <v>0</v>
      </c>
      <c r="L65" s="99">
        <f>IF(I65=6,(LEN(K65)+1)*8,IF(I65=7,(1 + HEX2DEC(MID(K65,3,FIND(",",K65)-3)))*8,IF(I65=14,(LEN(K65)+1)*16,IF(I65=15,(1 + HEX2DEC(MID(K65,3,FIND(",",K65)-3)))*16,VLOOKUP(G65,m2mFormatLUT!$B$2:$D$17,3,FALSE)))))</f>
        <v>1</v>
      </c>
    </row>
    <row r="66" spans="1:12" x14ac:dyDescent="0.55000000000000004">
      <c r="A66" s="99" t="s">
        <v>437</v>
      </c>
      <c r="B66" s="105" t="s">
        <v>438</v>
      </c>
      <c r="C66" s="100" t="s">
        <v>265</v>
      </c>
      <c r="D66" s="106" t="s">
        <v>94</v>
      </c>
      <c r="E66" s="101" t="s">
        <v>1152</v>
      </c>
      <c r="F66" s="102">
        <v>0</v>
      </c>
      <c r="G66" s="100" t="s">
        <v>1153</v>
      </c>
      <c r="H66" s="99">
        <v>64</v>
      </c>
      <c r="I66" s="99">
        <f>VLOOKUP(G66,m2mFormatLUT!$B$2:$D$17,2,FALSE)</f>
        <v>0</v>
      </c>
      <c r="J66" s="99" t="str">
        <f>IF(E66=m2mFormatLUT!$A$2,CONCATENATE(DEC2HEX(I66,1),DEC2HEX(H66,3)),CONCATENATE(DEC2HEX(240,2),DEC2HEX(I66,1),DEC2HEX(H66,5)))</f>
        <v>0040</v>
      </c>
      <c r="K66" s="99">
        <v>0</v>
      </c>
      <c r="L66" s="99">
        <f>IF(I66=6,(LEN(K66)+1)*8,IF(I66=7,(1 + HEX2DEC(MID(K66,3,FIND(",",K66)-3)))*8,IF(I66=14,(LEN(K66)+1)*16,IF(I66=15,(1 + HEX2DEC(MID(K66,3,FIND(",",K66)-3)))*16,VLOOKUP(G66,m2mFormatLUT!$B$2:$D$17,3,FALSE)))))</f>
        <v>1</v>
      </c>
    </row>
    <row r="67" spans="1:12" x14ac:dyDescent="0.55000000000000004">
      <c r="A67" s="99" t="s">
        <v>439</v>
      </c>
      <c r="B67" s="105" t="s">
        <v>440</v>
      </c>
      <c r="C67" s="100" t="s">
        <v>265</v>
      </c>
      <c r="D67" s="106" t="s">
        <v>94</v>
      </c>
      <c r="E67" s="101" t="s">
        <v>1152</v>
      </c>
      <c r="F67" s="102">
        <v>0</v>
      </c>
      <c r="G67" s="100" t="s">
        <v>1153</v>
      </c>
      <c r="H67" s="99">
        <v>65</v>
      </c>
      <c r="I67" s="99">
        <f>VLOOKUP(G67,m2mFormatLUT!$B$2:$D$17,2,FALSE)</f>
        <v>0</v>
      </c>
      <c r="J67" s="99" t="str">
        <f>IF(E67=m2mFormatLUT!$A$2,CONCATENATE(DEC2HEX(I67,1),DEC2HEX(H67,3)),CONCATENATE(DEC2HEX(240,2),DEC2HEX(I67,1),DEC2HEX(H67,5)))</f>
        <v>0041</v>
      </c>
      <c r="K67" s="99">
        <v>0</v>
      </c>
      <c r="L67" s="99">
        <f>IF(I67=6,(LEN(K67)+1)*8,IF(I67=7,(1 + HEX2DEC(MID(K67,3,FIND(",",K67)-3)))*8,IF(I67=14,(LEN(K67)+1)*16,IF(I67=15,(1 + HEX2DEC(MID(K67,3,FIND(",",K67)-3)))*16,VLOOKUP(G67,m2mFormatLUT!$B$2:$D$17,3,FALSE)))))</f>
        <v>1</v>
      </c>
    </row>
    <row r="68" spans="1:12" x14ac:dyDescent="0.55000000000000004">
      <c r="A68" s="99" t="s">
        <v>441</v>
      </c>
      <c r="B68" s="105" t="s">
        <v>442</v>
      </c>
      <c r="C68" s="100" t="s">
        <v>265</v>
      </c>
      <c r="D68" s="106" t="s">
        <v>94</v>
      </c>
      <c r="E68" s="101" t="s">
        <v>1152</v>
      </c>
      <c r="F68" s="102">
        <v>0</v>
      </c>
      <c r="G68" s="100" t="s">
        <v>1153</v>
      </c>
      <c r="H68" s="99">
        <v>66</v>
      </c>
      <c r="I68" s="99">
        <f>VLOOKUP(G68,m2mFormatLUT!$B$2:$D$17,2,FALSE)</f>
        <v>0</v>
      </c>
      <c r="J68" s="99" t="str">
        <f>IF(E68=m2mFormatLUT!$A$2,CONCATENATE(DEC2HEX(I68,1),DEC2HEX(H68,3)),CONCATENATE(DEC2HEX(240,2),DEC2HEX(I68,1),DEC2HEX(H68,5)))</f>
        <v>0042</v>
      </c>
      <c r="K68" s="99">
        <v>0</v>
      </c>
      <c r="L68" s="99">
        <f>IF(I68=6,(LEN(K68)+1)*8,IF(I68=7,(1 + HEX2DEC(MID(K68,3,FIND(",",K68)-3)))*8,IF(I68=14,(LEN(K68)+1)*16,IF(I68=15,(1 + HEX2DEC(MID(K68,3,FIND(",",K68)-3)))*16,VLOOKUP(G68,m2mFormatLUT!$B$2:$D$17,3,FALSE)))))</f>
        <v>1</v>
      </c>
    </row>
    <row r="69" spans="1:12" x14ac:dyDescent="0.55000000000000004">
      <c r="A69" s="99" t="s">
        <v>444</v>
      </c>
      <c r="B69" s="105" t="s">
        <v>445</v>
      </c>
      <c r="C69" s="100" t="s">
        <v>265</v>
      </c>
      <c r="D69" s="106" t="s">
        <v>103</v>
      </c>
      <c r="E69" s="101" t="s">
        <v>1152</v>
      </c>
      <c r="F69" s="102">
        <v>0</v>
      </c>
      <c r="G69" s="100" t="s">
        <v>1153</v>
      </c>
      <c r="H69" s="99">
        <v>67</v>
      </c>
      <c r="I69" s="99">
        <f>VLOOKUP(G69,m2mFormatLUT!$B$2:$D$17,2,FALSE)</f>
        <v>0</v>
      </c>
      <c r="J69" s="99" t="str">
        <f>IF(E69=m2mFormatLUT!$A$2,CONCATENATE(DEC2HEX(I69,1),DEC2HEX(H69,3)),CONCATENATE(DEC2HEX(240,2),DEC2HEX(I69,1),DEC2HEX(H69,5)))</f>
        <v>0043</v>
      </c>
      <c r="K69" s="99">
        <v>0</v>
      </c>
      <c r="L69" s="99">
        <f>IF(I69=6,(LEN(K69)+1)*8,IF(I69=7,(1 + HEX2DEC(MID(K69,3,FIND(",",K69)-3)))*8,IF(I69=14,(LEN(K69)+1)*16,IF(I69=15,(1 + HEX2DEC(MID(K69,3,FIND(",",K69)-3)))*16,VLOOKUP(G69,m2mFormatLUT!$B$2:$D$17,3,FALSE)))))</f>
        <v>1</v>
      </c>
    </row>
    <row r="70" spans="1:12" x14ac:dyDescent="0.55000000000000004">
      <c r="A70" s="99" t="s">
        <v>446</v>
      </c>
      <c r="B70" s="105" t="s">
        <v>447</v>
      </c>
      <c r="C70" s="100" t="s">
        <v>265</v>
      </c>
      <c r="D70" s="106" t="s">
        <v>103</v>
      </c>
      <c r="E70" s="101" t="s">
        <v>1152</v>
      </c>
      <c r="F70" s="102">
        <v>0</v>
      </c>
      <c r="G70" s="100" t="s">
        <v>1153</v>
      </c>
      <c r="H70" s="99">
        <v>68</v>
      </c>
      <c r="I70" s="99">
        <f>VLOOKUP(G70,m2mFormatLUT!$B$2:$D$17,2,FALSE)</f>
        <v>0</v>
      </c>
      <c r="J70" s="99" t="str">
        <f>IF(E70=m2mFormatLUT!$A$2,CONCATENATE(DEC2HEX(I70,1),DEC2HEX(H70,3)),CONCATENATE(DEC2HEX(240,2),DEC2HEX(I70,1),DEC2HEX(H70,5)))</f>
        <v>0044</v>
      </c>
      <c r="K70" s="99">
        <v>0</v>
      </c>
      <c r="L70" s="99">
        <f>IF(I70=6,(LEN(K70)+1)*8,IF(I70=7,(1 + HEX2DEC(MID(K70,3,FIND(",",K70)-3)))*8,IF(I70=14,(LEN(K70)+1)*16,IF(I70=15,(1 + HEX2DEC(MID(K70,3,FIND(",",K70)-3)))*16,VLOOKUP(G70,m2mFormatLUT!$B$2:$D$17,3,FALSE)))))</f>
        <v>1</v>
      </c>
    </row>
    <row r="71" spans="1:12" x14ac:dyDescent="0.55000000000000004">
      <c r="A71" s="99" t="s">
        <v>448</v>
      </c>
      <c r="B71" s="105" t="s">
        <v>449</v>
      </c>
      <c r="C71" s="100" t="s">
        <v>265</v>
      </c>
      <c r="D71" s="106" t="s">
        <v>103</v>
      </c>
      <c r="E71" s="101" t="s">
        <v>1152</v>
      </c>
      <c r="F71" s="102">
        <v>0</v>
      </c>
      <c r="G71" s="100" t="s">
        <v>1153</v>
      </c>
      <c r="H71" s="99">
        <v>69</v>
      </c>
      <c r="I71" s="99">
        <f>VLOOKUP(G71,m2mFormatLUT!$B$2:$D$17,2,FALSE)</f>
        <v>0</v>
      </c>
      <c r="J71" s="99" t="str">
        <f>IF(E71=m2mFormatLUT!$A$2,CONCATENATE(DEC2HEX(I71,1),DEC2HEX(H71,3)),CONCATENATE(DEC2HEX(240,2),DEC2HEX(I71,1),DEC2HEX(H71,5)))</f>
        <v>0045</v>
      </c>
      <c r="K71" s="99">
        <v>0</v>
      </c>
      <c r="L71" s="99">
        <f>IF(I71=6,(LEN(K71)+1)*8,IF(I71=7,(1 + HEX2DEC(MID(K71,3,FIND(",",K71)-3)))*8,IF(I71=14,(LEN(K71)+1)*16,IF(I71=15,(1 + HEX2DEC(MID(K71,3,FIND(",",K71)-3)))*16,VLOOKUP(G71,m2mFormatLUT!$B$2:$D$17,3,FALSE)))))</f>
        <v>1</v>
      </c>
    </row>
    <row r="72" spans="1:12" x14ac:dyDescent="0.55000000000000004">
      <c r="A72" s="99" t="s">
        <v>452</v>
      </c>
      <c r="B72" s="105" t="s">
        <v>453</v>
      </c>
      <c r="C72" s="100" t="s">
        <v>265</v>
      </c>
      <c r="D72" s="106" t="s">
        <v>103</v>
      </c>
      <c r="E72" s="101" t="s">
        <v>1152</v>
      </c>
      <c r="F72" s="102">
        <v>0</v>
      </c>
      <c r="G72" s="100" t="s">
        <v>1153</v>
      </c>
      <c r="H72" s="99">
        <v>70</v>
      </c>
      <c r="I72" s="99">
        <f>VLOOKUP(G72,m2mFormatLUT!$B$2:$D$17,2,FALSE)</f>
        <v>0</v>
      </c>
      <c r="J72" s="99" t="str">
        <f>IF(E72=m2mFormatLUT!$A$2,CONCATENATE(DEC2HEX(I72,1),DEC2HEX(H72,3)),CONCATENATE(DEC2HEX(240,2),DEC2HEX(I72,1),DEC2HEX(H72,5)))</f>
        <v>0046</v>
      </c>
      <c r="K72" s="99">
        <v>0</v>
      </c>
      <c r="L72" s="99">
        <f>IF(I72=6,(LEN(K72)+1)*8,IF(I72=7,(1 + HEX2DEC(MID(K72,3,FIND(",",K72)-3)))*8,IF(I72=14,(LEN(K72)+1)*16,IF(I72=15,(1 + HEX2DEC(MID(K72,3,FIND(",",K72)-3)))*16,VLOOKUP(G72,m2mFormatLUT!$B$2:$D$17,3,FALSE)))))</f>
        <v>1</v>
      </c>
    </row>
    <row r="73" spans="1:12" x14ac:dyDescent="0.55000000000000004">
      <c r="A73" s="99" t="s">
        <v>456</v>
      </c>
      <c r="B73" s="105" t="s">
        <v>457</v>
      </c>
      <c r="C73" s="100" t="s">
        <v>265</v>
      </c>
      <c r="D73" s="106" t="s">
        <v>103</v>
      </c>
      <c r="E73" s="101" t="s">
        <v>1152</v>
      </c>
      <c r="F73" s="102">
        <v>0</v>
      </c>
      <c r="G73" s="100" t="s">
        <v>1153</v>
      </c>
      <c r="H73" s="99">
        <v>71</v>
      </c>
      <c r="I73" s="99">
        <f>VLOOKUP(G73,m2mFormatLUT!$B$2:$D$17,2,FALSE)</f>
        <v>0</v>
      </c>
      <c r="J73" s="99" t="str">
        <f>IF(E73=m2mFormatLUT!$A$2,CONCATENATE(DEC2HEX(I73,1),DEC2HEX(H73,3)),CONCATENATE(DEC2HEX(240,2),DEC2HEX(I73,1),DEC2HEX(H73,5)))</f>
        <v>0047</v>
      </c>
      <c r="K73" s="99">
        <v>0</v>
      </c>
      <c r="L73" s="99">
        <f>IF(I73=6,(LEN(K73)+1)*8,IF(I73=7,(1 + HEX2DEC(MID(K73,3,FIND(",",K73)-3)))*8,IF(I73=14,(LEN(K73)+1)*16,IF(I73=15,(1 + HEX2DEC(MID(K73,3,FIND(",",K73)-3)))*16,VLOOKUP(G73,m2mFormatLUT!$B$2:$D$17,3,FALSE)))))</f>
        <v>1</v>
      </c>
    </row>
    <row r="74" spans="1:12" x14ac:dyDescent="0.55000000000000004">
      <c r="A74" s="99" t="s">
        <v>460</v>
      </c>
      <c r="B74" s="105" t="s">
        <v>461</v>
      </c>
      <c r="C74" s="100" t="s">
        <v>265</v>
      </c>
      <c r="D74" s="106" t="s">
        <v>103</v>
      </c>
      <c r="E74" s="101" t="s">
        <v>1152</v>
      </c>
      <c r="F74" s="102">
        <v>0</v>
      </c>
      <c r="G74" s="100" t="s">
        <v>1153</v>
      </c>
      <c r="H74" s="99">
        <v>72</v>
      </c>
      <c r="I74" s="99">
        <f>VLOOKUP(G74,m2mFormatLUT!$B$2:$D$17,2,FALSE)</f>
        <v>0</v>
      </c>
      <c r="J74" s="99" t="str">
        <f>IF(E74=m2mFormatLUT!$A$2,CONCATENATE(DEC2HEX(I74,1),DEC2HEX(H74,3)),CONCATENATE(DEC2HEX(240,2),DEC2HEX(I74,1),DEC2HEX(H74,5)))</f>
        <v>0048</v>
      </c>
      <c r="K74" s="99">
        <v>0</v>
      </c>
      <c r="L74" s="99">
        <f>IF(I74=6,(LEN(K74)+1)*8,IF(I74=7,(1 + HEX2DEC(MID(K74,3,FIND(",",K74)-3)))*8,IF(I74=14,(LEN(K74)+1)*16,IF(I74=15,(1 + HEX2DEC(MID(K74,3,FIND(",",K74)-3)))*16,VLOOKUP(G74,m2mFormatLUT!$B$2:$D$17,3,FALSE)))))</f>
        <v>1</v>
      </c>
    </row>
    <row r="75" spans="1:12" x14ac:dyDescent="0.55000000000000004">
      <c r="A75" s="99" t="s">
        <v>464</v>
      </c>
      <c r="B75" s="105" t="s">
        <v>102</v>
      </c>
      <c r="C75" s="100" t="s">
        <v>265</v>
      </c>
      <c r="D75" s="106" t="s">
        <v>103</v>
      </c>
      <c r="E75" s="101" t="s">
        <v>1152</v>
      </c>
      <c r="F75" s="102">
        <v>0</v>
      </c>
      <c r="G75" s="100" t="s">
        <v>1153</v>
      </c>
      <c r="H75" s="99">
        <v>73</v>
      </c>
      <c r="I75" s="99">
        <f>VLOOKUP(G75,m2mFormatLUT!$B$2:$D$17,2,FALSE)</f>
        <v>0</v>
      </c>
      <c r="J75" s="99" t="str">
        <f>IF(E75=m2mFormatLUT!$A$2,CONCATENATE(DEC2HEX(I75,1),DEC2HEX(H75,3)),CONCATENATE(DEC2HEX(240,2),DEC2HEX(I75,1),DEC2HEX(H75,5)))</f>
        <v>0049</v>
      </c>
      <c r="K75" s="99">
        <v>0</v>
      </c>
      <c r="L75" s="99">
        <f>IF(I75=6,(LEN(K75)+1)*8,IF(I75=7,(1 + HEX2DEC(MID(K75,3,FIND(",",K75)-3)))*8,IF(I75=14,(LEN(K75)+1)*16,IF(I75=15,(1 + HEX2DEC(MID(K75,3,FIND(",",K75)-3)))*16,VLOOKUP(G75,m2mFormatLUT!$B$2:$D$17,3,FALSE)))))</f>
        <v>1</v>
      </c>
    </row>
    <row r="76" spans="1:12" x14ac:dyDescent="0.55000000000000004">
      <c r="A76" s="99" t="s">
        <v>465</v>
      </c>
      <c r="B76" s="105" t="s">
        <v>105</v>
      </c>
      <c r="C76" s="100" t="s">
        <v>265</v>
      </c>
      <c r="D76" s="106" t="s">
        <v>103</v>
      </c>
      <c r="E76" s="101" t="s">
        <v>1152</v>
      </c>
      <c r="F76" s="102">
        <v>0</v>
      </c>
      <c r="G76" s="100" t="s">
        <v>1153</v>
      </c>
      <c r="H76" s="99">
        <v>74</v>
      </c>
      <c r="I76" s="99">
        <f>VLOOKUP(G76,m2mFormatLUT!$B$2:$D$17,2,FALSE)</f>
        <v>0</v>
      </c>
      <c r="J76" s="99" t="str">
        <f>IF(E76=m2mFormatLUT!$A$2,CONCATENATE(DEC2HEX(I76,1),DEC2HEX(H76,3)),CONCATENATE(DEC2HEX(240,2),DEC2HEX(I76,1),DEC2HEX(H76,5)))</f>
        <v>004A</v>
      </c>
      <c r="K76" s="99">
        <v>0</v>
      </c>
      <c r="L76" s="99">
        <f>IF(I76=6,(LEN(K76)+1)*8,IF(I76=7,(1 + HEX2DEC(MID(K76,3,FIND(",",K76)-3)))*8,IF(I76=14,(LEN(K76)+1)*16,IF(I76=15,(1 + HEX2DEC(MID(K76,3,FIND(",",K76)-3)))*16,VLOOKUP(G76,m2mFormatLUT!$B$2:$D$17,3,FALSE)))))</f>
        <v>1</v>
      </c>
    </row>
    <row r="77" spans="1:12" x14ac:dyDescent="0.55000000000000004">
      <c r="A77" s="99" t="s">
        <v>466</v>
      </c>
      <c r="B77" s="105" t="s">
        <v>467</v>
      </c>
      <c r="C77" s="100" t="s">
        <v>265</v>
      </c>
      <c r="D77" s="106" t="s">
        <v>103</v>
      </c>
      <c r="E77" s="101" t="s">
        <v>1152</v>
      </c>
      <c r="F77" s="102">
        <v>0</v>
      </c>
      <c r="G77" s="100" t="s">
        <v>1153</v>
      </c>
      <c r="H77" s="99">
        <v>75</v>
      </c>
      <c r="I77" s="99">
        <f>VLOOKUP(G77,m2mFormatLUT!$B$2:$D$17,2,FALSE)</f>
        <v>0</v>
      </c>
      <c r="J77" s="99" t="str">
        <f>IF(E77=m2mFormatLUT!$A$2,CONCATENATE(DEC2HEX(I77,1),DEC2HEX(H77,3)),CONCATENATE(DEC2HEX(240,2),DEC2HEX(I77,1),DEC2HEX(H77,5)))</f>
        <v>004B</v>
      </c>
      <c r="K77" s="99">
        <v>0</v>
      </c>
      <c r="L77" s="99">
        <f>IF(I77=6,(LEN(K77)+1)*8,IF(I77=7,(1 + HEX2DEC(MID(K77,3,FIND(",",K77)-3)))*8,IF(I77=14,(LEN(K77)+1)*16,IF(I77=15,(1 + HEX2DEC(MID(K77,3,FIND(",",K77)-3)))*16,VLOOKUP(G77,m2mFormatLUT!$B$2:$D$17,3,FALSE)))))</f>
        <v>1</v>
      </c>
    </row>
    <row r="78" spans="1:12" x14ac:dyDescent="0.55000000000000004">
      <c r="A78" s="99" t="s">
        <v>468</v>
      </c>
      <c r="B78" s="105" t="s">
        <v>469</v>
      </c>
      <c r="C78" s="100" t="s">
        <v>265</v>
      </c>
      <c r="D78" s="106" t="s">
        <v>103</v>
      </c>
      <c r="E78" s="101" t="s">
        <v>1152</v>
      </c>
      <c r="F78" s="102">
        <v>0</v>
      </c>
      <c r="G78" s="100" t="s">
        <v>1153</v>
      </c>
      <c r="H78" s="99">
        <v>76</v>
      </c>
      <c r="I78" s="99">
        <f>VLOOKUP(G78,m2mFormatLUT!$B$2:$D$17,2,FALSE)</f>
        <v>0</v>
      </c>
      <c r="J78" s="99" t="str">
        <f>IF(E78=m2mFormatLUT!$A$2,CONCATENATE(DEC2HEX(I78,1),DEC2HEX(H78,3)),CONCATENATE(DEC2HEX(240,2),DEC2HEX(I78,1),DEC2HEX(H78,5)))</f>
        <v>004C</v>
      </c>
      <c r="K78" s="99">
        <v>0</v>
      </c>
      <c r="L78" s="99">
        <f>IF(I78=6,(LEN(K78)+1)*8,IF(I78=7,(1 + HEX2DEC(MID(K78,3,FIND(",",K78)-3)))*8,IF(I78=14,(LEN(K78)+1)*16,IF(I78=15,(1 + HEX2DEC(MID(K78,3,FIND(",",K78)-3)))*16,VLOOKUP(G78,m2mFormatLUT!$B$2:$D$17,3,FALSE)))))</f>
        <v>1</v>
      </c>
    </row>
    <row r="79" spans="1:12" x14ac:dyDescent="0.55000000000000004">
      <c r="A79" s="99" t="s">
        <v>470</v>
      </c>
      <c r="B79" s="105" t="s">
        <v>106</v>
      </c>
      <c r="C79" s="100" t="s">
        <v>265</v>
      </c>
      <c r="D79" s="106" t="s">
        <v>103</v>
      </c>
      <c r="E79" s="101" t="s">
        <v>1152</v>
      </c>
      <c r="F79" s="102">
        <v>0</v>
      </c>
      <c r="G79" s="100" t="s">
        <v>1153</v>
      </c>
      <c r="H79" s="99">
        <v>77</v>
      </c>
      <c r="I79" s="99">
        <f>VLOOKUP(G79,m2mFormatLUT!$B$2:$D$17,2,FALSE)</f>
        <v>0</v>
      </c>
      <c r="J79" s="99" t="str">
        <f>IF(E79=m2mFormatLUT!$A$2,CONCATENATE(DEC2HEX(I79,1),DEC2HEX(H79,3)),CONCATENATE(DEC2HEX(240,2),DEC2HEX(I79,1),DEC2HEX(H79,5)))</f>
        <v>004D</v>
      </c>
      <c r="K79" s="99">
        <v>0</v>
      </c>
      <c r="L79" s="99">
        <f>IF(I79=6,(LEN(K79)+1)*8,IF(I79=7,(1 + HEX2DEC(MID(K79,3,FIND(",",K79)-3)))*8,IF(I79=14,(LEN(K79)+1)*16,IF(I79=15,(1 + HEX2DEC(MID(K79,3,FIND(",",K79)-3)))*16,VLOOKUP(G79,m2mFormatLUT!$B$2:$D$17,3,FALSE)))))</f>
        <v>1</v>
      </c>
    </row>
    <row r="80" spans="1:12" x14ac:dyDescent="0.55000000000000004">
      <c r="A80" s="99" t="s">
        <v>471</v>
      </c>
      <c r="B80" s="105" t="s">
        <v>472</v>
      </c>
      <c r="C80" s="100" t="s">
        <v>265</v>
      </c>
      <c r="D80" s="106" t="s">
        <v>103</v>
      </c>
      <c r="E80" s="101" t="s">
        <v>1152</v>
      </c>
      <c r="F80" s="102">
        <v>0</v>
      </c>
      <c r="G80" s="100" t="s">
        <v>1153</v>
      </c>
      <c r="H80" s="99">
        <v>78</v>
      </c>
      <c r="I80" s="99">
        <f>VLOOKUP(G80,m2mFormatLUT!$B$2:$D$17,2,FALSE)</f>
        <v>0</v>
      </c>
      <c r="J80" s="99" t="str">
        <f>IF(E80=m2mFormatLUT!$A$2,CONCATENATE(DEC2HEX(I80,1),DEC2HEX(H80,3)),CONCATENATE(DEC2HEX(240,2),DEC2HEX(I80,1),DEC2HEX(H80,5)))</f>
        <v>004E</v>
      </c>
      <c r="K80" s="99">
        <v>0</v>
      </c>
      <c r="L80" s="99">
        <f>IF(I80=6,(LEN(K80)+1)*8,IF(I80=7,(1 + HEX2DEC(MID(K80,3,FIND(",",K80)-3)))*8,IF(I80=14,(LEN(K80)+1)*16,IF(I80=15,(1 + HEX2DEC(MID(K80,3,FIND(",",K80)-3)))*16,VLOOKUP(G80,m2mFormatLUT!$B$2:$D$17,3,FALSE)))))</f>
        <v>1</v>
      </c>
    </row>
    <row r="81" spans="1:12" x14ac:dyDescent="0.55000000000000004">
      <c r="A81" s="99" t="s">
        <v>473</v>
      </c>
      <c r="B81" s="105" t="s">
        <v>474</v>
      </c>
      <c r="C81" s="100" t="s">
        <v>265</v>
      </c>
      <c r="D81" s="106" t="s">
        <v>103</v>
      </c>
      <c r="E81" s="101" t="s">
        <v>1152</v>
      </c>
      <c r="F81" s="102">
        <v>0</v>
      </c>
      <c r="G81" s="100" t="s">
        <v>1153</v>
      </c>
      <c r="H81" s="99">
        <v>79</v>
      </c>
      <c r="I81" s="99">
        <f>VLOOKUP(G81,m2mFormatLUT!$B$2:$D$17,2,FALSE)</f>
        <v>0</v>
      </c>
      <c r="J81" s="99" t="str">
        <f>IF(E81=m2mFormatLUT!$A$2,CONCATENATE(DEC2HEX(I81,1),DEC2HEX(H81,3)),CONCATENATE(DEC2HEX(240,2),DEC2HEX(I81,1),DEC2HEX(H81,5)))</f>
        <v>004F</v>
      </c>
      <c r="K81" s="99">
        <v>0</v>
      </c>
      <c r="L81" s="99">
        <f>IF(I81=6,(LEN(K81)+1)*8,IF(I81=7,(1 + HEX2DEC(MID(K81,3,FIND(",",K81)-3)))*8,IF(I81=14,(LEN(K81)+1)*16,IF(I81=15,(1 + HEX2DEC(MID(K81,3,FIND(",",K81)-3)))*16,VLOOKUP(G81,m2mFormatLUT!$B$2:$D$17,3,FALSE)))))</f>
        <v>1</v>
      </c>
    </row>
    <row r="82" spans="1:12" x14ac:dyDescent="0.55000000000000004">
      <c r="A82" s="99" t="s">
        <v>475</v>
      </c>
      <c r="B82" s="105" t="s">
        <v>476</v>
      </c>
      <c r="C82" s="100" t="s">
        <v>265</v>
      </c>
      <c r="D82" s="106" t="s">
        <v>103</v>
      </c>
      <c r="E82" s="101" t="s">
        <v>1152</v>
      </c>
      <c r="F82" s="102">
        <v>0</v>
      </c>
      <c r="G82" s="100" t="s">
        <v>1153</v>
      </c>
      <c r="H82" s="99">
        <v>80</v>
      </c>
      <c r="I82" s="99">
        <f>VLOOKUP(G82,m2mFormatLUT!$B$2:$D$17,2,FALSE)</f>
        <v>0</v>
      </c>
      <c r="J82" s="99" t="str">
        <f>IF(E82=m2mFormatLUT!$A$2,CONCATENATE(DEC2HEX(I82,1),DEC2HEX(H82,3)),CONCATENATE(DEC2HEX(240,2),DEC2HEX(I82,1),DEC2HEX(H82,5)))</f>
        <v>0050</v>
      </c>
      <c r="K82" s="99">
        <v>0</v>
      </c>
      <c r="L82" s="99">
        <f>IF(I82=6,(LEN(K82)+1)*8,IF(I82=7,(1 + HEX2DEC(MID(K82,3,FIND(",",K82)-3)))*8,IF(I82=14,(LEN(K82)+1)*16,IF(I82=15,(1 + HEX2DEC(MID(K82,3,FIND(",",K82)-3)))*16,VLOOKUP(G82,m2mFormatLUT!$B$2:$D$17,3,FALSE)))))</f>
        <v>1</v>
      </c>
    </row>
    <row r="83" spans="1:12" x14ac:dyDescent="0.55000000000000004">
      <c r="A83" s="99" t="s">
        <v>477</v>
      </c>
      <c r="B83" s="105" t="s">
        <v>478</v>
      </c>
      <c r="C83" s="100" t="s">
        <v>265</v>
      </c>
      <c r="D83" s="106" t="s">
        <v>103</v>
      </c>
      <c r="E83" s="101" t="s">
        <v>1152</v>
      </c>
      <c r="F83" s="102">
        <v>0</v>
      </c>
      <c r="G83" s="100" t="s">
        <v>1153</v>
      </c>
      <c r="H83" s="99">
        <v>81</v>
      </c>
      <c r="I83" s="99">
        <f>VLOOKUP(G83,m2mFormatLUT!$B$2:$D$17,2,FALSE)</f>
        <v>0</v>
      </c>
      <c r="J83" s="99" t="str">
        <f>IF(E83=m2mFormatLUT!$A$2,CONCATENATE(DEC2HEX(I83,1),DEC2HEX(H83,3)),CONCATENATE(DEC2HEX(240,2),DEC2HEX(I83,1),DEC2HEX(H83,5)))</f>
        <v>0051</v>
      </c>
      <c r="K83" s="99">
        <v>0</v>
      </c>
      <c r="L83" s="99">
        <f>IF(I83=6,(LEN(K83)+1)*8,IF(I83=7,(1 + HEX2DEC(MID(K83,3,FIND(",",K83)-3)))*8,IF(I83=14,(LEN(K83)+1)*16,IF(I83=15,(1 + HEX2DEC(MID(K83,3,FIND(",",K83)-3)))*16,VLOOKUP(G83,m2mFormatLUT!$B$2:$D$17,3,FALSE)))))</f>
        <v>1</v>
      </c>
    </row>
    <row r="84" spans="1:12" x14ac:dyDescent="0.55000000000000004">
      <c r="A84" s="99" t="s">
        <v>479</v>
      </c>
      <c r="B84" s="105" t="s">
        <v>480</v>
      </c>
      <c r="C84" s="100" t="s">
        <v>265</v>
      </c>
      <c r="D84" s="106" t="s">
        <v>103</v>
      </c>
      <c r="E84" s="101" t="s">
        <v>1152</v>
      </c>
      <c r="F84" s="102">
        <v>0</v>
      </c>
      <c r="G84" s="100" t="s">
        <v>1153</v>
      </c>
      <c r="H84" s="99">
        <v>82</v>
      </c>
      <c r="I84" s="99">
        <f>VLOOKUP(G84,m2mFormatLUT!$B$2:$D$17,2,FALSE)</f>
        <v>0</v>
      </c>
      <c r="J84" s="99" t="str">
        <f>IF(E84=m2mFormatLUT!$A$2,CONCATENATE(DEC2HEX(I84,1),DEC2HEX(H84,3)),CONCATENATE(DEC2HEX(240,2),DEC2HEX(I84,1),DEC2HEX(H84,5)))</f>
        <v>0052</v>
      </c>
      <c r="K84" s="99">
        <v>0</v>
      </c>
      <c r="L84" s="99">
        <f>IF(I84=6,(LEN(K84)+1)*8,IF(I84=7,(1 + HEX2DEC(MID(K84,3,FIND(",",K84)-3)))*8,IF(I84=14,(LEN(K84)+1)*16,IF(I84=15,(1 + HEX2DEC(MID(K84,3,FIND(",",K84)-3)))*16,VLOOKUP(G84,m2mFormatLUT!$B$2:$D$17,3,FALSE)))))</f>
        <v>1</v>
      </c>
    </row>
    <row r="85" spans="1:12" x14ac:dyDescent="0.55000000000000004">
      <c r="A85" s="99" t="s">
        <v>481</v>
      </c>
      <c r="B85" s="105" t="s">
        <v>482</v>
      </c>
      <c r="C85" s="100" t="s">
        <v>265</v>
      </c>
      <c r="D85" s="106" t="s">
        <v>103</v>
      </c>
      <c r="E85" s="101" t="s">
        <v>1152</v>
      </c>
      <c r="F85" s="102">
        <v>0</v>
      </c>
      <c r="G85" s="100" t="s">
        <v>1153</v>
      </c>
      <c r="H85" s="99">
        <v>83</v>
      </c>
      <c r="I85" s="99">
        <f>VLOOKUP(G85,m2mFormatLUT!$B$2:$D$17,2,FALSE)</f>
        <v>0</v>
      </c>
      <c r="J85" s="99" t="str">
        <f>IF(E85=m2mFormatLUT!$A$2,CONCATENATE(DEC2HEX(I85,1),DEC2HEX(H85,3)),CONCATENATE(DEC2HEX(240,2),DEC2HEX(I85,1),DEC2HEX(H85,5)))</f>
        <v>0053</v>
      </c>
      <c r="K85" s="99">
        <v>0</v>
      </c>
      <c r="L85" s="99">
        <f>IF(I85=6,(LEN(K85)+1)*8,IF(I85=7,(1 + HEX2DEC(MID(K85,3,FIND(",",K85)-3)))*8,IF(I85=14,(LEN(K85)+1)*16,IF(I85=15,(1 + HEX2DEC(MID(K85,3,FIND(",",K85)-3)))*16,VLOOKUP(G85,m2mFormatLUT!$B$2:$D$17,3,FALSE)))))</f>
        <v>1</v>
      </c>
    </row>
    <row r="86" spans="1:12" x14ac:dyDescent="0.55000000000000004">
      <c r="A86" s="99" t="s">
        <v>483</v>
      </c>
      <c r="B86" s="105" t="s">
        <v>484</v>
      </c>
      <c r="C86" s="100" t="s">
        <v>265</v>
      </c>
      <c r="D86" s="106" t="s">
        <v>103</v>
      </c>
      <c r="E86" s="101" t="s">
        <v>1152</v>
      </c>
      <c r="F86" s="102">
        <v>0</v>
      </c>
      <c r="G86" s="100" t="s">
        <v>1153</v>
      </c>
      <c r="H86" s="99">
        <v>84</v>
      </c>
      <c r="I86" s="99">
        <f>VLOOKUP(G86,m2mFormatLUT!$B$2:$D$17,2,FALSE)</f>
        <v>0</v>
      </c>
      <c r="J86" s="99" t="str">
        <f>IF(E86=m2mFormatLUT!$A$2,CONCATENATE(DEC2HEX(I86,1),DEC2HEX(H86,3)),CONCATENATE(DEC2HEX(240,2),DEC2HEX(I86,1),DEC2HEX(H86,5)))</f>
        <v>0054</v>
      </c>
      <c r="K86" s="99">
        <v>0</v>
      </c>
      <c r="L86" s="99">
        <f>IF(I86=6,(LEN(K86)+1)*8,IF(I86=7,(1 + HEX2DEC(MID(K86,3,FIND(",",K86)-3)))*8,IF(I86=14,(LEN(K86)+1)*16,IF(I86=15,(1 + HEX2DEC(MID(K86,3,FIND(",",K86)-3)))*16,VLOOKUP(G86,m2mFormatLUT!$B$2:$D$17,3,FALSE)))))</f>
        <v>1</v>
      </c>
    </row>
    <row r="87" spans="1:12" x14ac:dyDescent="0.55000000000000004">
      <c r="A87" s="99" t="s">
        <v>485</v>
      </c>
      <c r="B87" s="105" t="s">
        <v>486</v>
      </c>
      <c r="C87" s="100" t="s">
        <v>265</v>
      </c>
      <c r="D87" s="106" t="s">
        <v>103</v>
      </c>
      <c r="E87" s="101" t="s">
        <v>1152</v>
      </c>
      <c r="F87" s="102">
        <v>0</v>
      </c>
      <c r="G87" s="100" t="s">
        <v>1153</v>
      </c>
      <c r="H87" s="99">
        <v>85</v>
      </c>
      <c r="I87" s="99">
        <f>VLOOKUP(G87,m2mFormatLUT!$B$2:$D$17,2,FALSE)</f>
        <v>0</v>
      </c>
      <c r="J87" s="99" t="str">
        <f>IF(E87=m2mFormatLUT!$A$2,CONCATENATE(DEC2HEX(I87,1),DEC2HEX(H87,3)),CONCATENATE(DEC2HEX(240,2),DEC2HEX(I87,1),DEC2HEX(H87,5)))</f>
        <v>0055</v>
      </c>
      <c r="K87" s="99">
        <v>0</v>
      </c>
      <c r="L87" s="99">
        <f>IF(I87=6,(LEN(K87)+1)*8,IF(I87=7,(1 + HEX2DEC(MID(K87,3,FIND(",",K87)-3)))*8,IF(I87=14,(LEN(K87)+1)*16,IF(I87=15,(1 + HEX2DEC(MID(K87,3,FIND(",",K87)-3)))*16,VLOOKUP(G87,m2mFormatLUT!$B$2:$D$17,3,FALSE)))))</f>
        <v>1</v>
      </c>
    </row>
    <row r="88" spans="1:12" x14ac:dyDescent="0.55000000000000004">
      <c r="A88" s="99" t="s">
        <v>487</v>
      </c>
      <c r="B88" s="105" t="s">
        <v>488</v>
      </c>
      <c r="C88" s="100" t="s">
        <v>265</v>
      </c>
      <c r="D88" s="106" t="s">
        <v>103</v>
      </c>
      <c r="E88" s="101" t="s">
        <v>1152</v>
      </c>
      <c r="F88" s="102">
        <v>0</v>
      </c>
      <c r="G88" s="100" t="s">
        <v>1153</v>
      </c>
      <c r="H88" s="99">
        <v>86</v>
      </c>
      <c r="I88" s="99">
        <f>VLOOKUP(G88,m2mFormatLUT!$B$2:$D$17,2,FALSE)</f>
        <v>0</v>
      </c>
      <c r="J88" s="99" t="str">
        <f>IF(E88=m2mFormatLUT!$A$2,CONCATENATE(DEC2HEX(I88,1),DEC2HEX(H88,3)),CONCATENATE(DEC2HEX(240,2),DEC2HEX(I88,1),DEC2HEX(H88,5)))</f>
        <v>0056</v>
      </c>
      <c r="K88" s="99">
        <v>0</v>
      </c>
      <c r="L88" s="99">
        <f>IF(I88=6,(LEN(K88)+1)*8,IF(I88=7,(1 + HEX2DEC(MID(K88,3,FIND(",",K88)-3)))*8,IF(I88=14,(LEN(K88)+1)*16,IF(I88=15,(1 + HEX2DEC(MID(K88,3,FIND(",",K88)-3)))*16,VLOOKUP(G88,m2mFormatLUT!$B$2:$D$17,3,FALSE)))))</f>
        <v>1</v>
      </c>
    </row>
    <row r="89" spans="1:12" x14ac:dyDescent="0.55000000000000004">
      <c r="A89" s="99" t="s">
        <v>489</v>
      </c>
      <c r="B89" s="105" t="s">
        <v>490</v>
      </c>
      <c r="C89" s="100" t="s">
        <v>265</v>
      </c>
      <c r="D89" s="106" t="s">
        <v>103</v>
      </c>
      <c r="E89" s="101" t="s">
        <v>1152</v>
      </c>
      <c r="F89" s="102">
        <v>0</v>
      </c>
      <c r="G89" s="100" t="s">
        <v>1153</v>
      </c>
      <c r="H89" s="99">
        <v>87</v>
      </c>
      <c r="I89" s="99">
        <f>VLOOKUP(G89,m2mFormatLUT!$B$2:$D$17,2,FALSE)</f>
        <v>0</v>
      </c>
      <c r="J89" s="99" t="str">
        <f>IF(E89=m2mFormatLUT!$A$2,CONCATENATE(DEC2HEX(I89,1),DEC2HEX(H89,3)),CONCATENATE(DEC2HEX(240,2),DEC2HEX(I89,1),DEC2HEX(H89,5)))</f>
        <v>0057</v>
      </c>
      <c r="K89" s="99">
        <v>0</v>
      </c>
      <c r="L89" s="99">
        <f>IF(I89=6,(LEN(K89)+1)*8,IF(I89=7,(1 + HEX2DEC(MID(K89,3,FIND(",",K89)-3)))*8,IF(I89=14,(LEN(K89)+1)*16,IF(I89=15,(1 + HEX2DEC(MID(K89,3,FIND(",",K89)-3)))*16,VLOOKUP(G89,m2mFormatLUT!$B$2:$D$17,3,FALSE)))))</f>
        <v>1</v>
      </c>
    </row>
    <row r="90" spans="1:12" x14ac:dyDescent="0.55000000000000004">
      <c r="A90" s="99" t="s">
        <v>491</v>
      </c>
      <c r="B90" s="105" t="s">
        <v>492</v>
      </c>
      <c r="C90" s="100" t="s">
        <v>265</v>
      </c>
      <c r="D90" s="106" t="s">
        <v>103</v>
      </c>
      <c r="E90" s="101" t="s">
        <v>1152</v>
      </c>
      <c r="F90" s="102">
        <v>0</v>
      </c>
      <c r="G90" s="100" t="s">
        <v>1153</v>
      </c>
      <c r="H90" s="99">
        <v>88</v>
      </c>
      <c r="I90" s="99">
        <f>VLOOKUP(G90,m2mFormatLUT!$B$2:$D$17,2,FALSE)</f>
        <v>0</v>
      </c>
      <c r="J90" s="99" t="str">
        <f>IF(E90=m2mFormatLUT!$A$2,CONCATENATE(DEC2HEX(I90,1),DEC2HEX(H90,3)),CONCATENATE(DEC2HEX(240,2),DEC2HEX(I90,1),DEC2HEX(H90,5)))</f>
        <v>0058</v>
      </c>
      <c r="K90" s="99">
        <v>0</v>
      </c>
      <c r="L90" s="99">
        <f>IF(I90=6,(LEN(K90)+1)*8,IF(I90=7,(1 + HEX2DEC(MID(K90,3,FIND(",",K90)-3)))*8,IF(I90=14,(LEN(K90)+1)*16,IF(I90=15,(1 + HEX2DEC(MID(K90,3,FIND(",",K90)-3)))*16,VLOOKUP(G90,m2mFormatLUT!$B$2:$D$17,3,FALSE)))))</f>
        <v>1</v>
      </c>
    </row>
    <row r="91" spans="1:12" x14ac:dyDescent="0.55000000000000004">
      <c r="A91" s="99" t="s">
        <v>493</v>
      </c>
      <c r="B91" s="105" t="s">
        <v>494</v>
      </c>
      <c r="C91" s="100" t="s">
        <v>265</v>
      </c>
      <c r="D91" s="106" t="s">
        <v>103</v>
      </c>
      <c r="E91" s="101" t="s">
        <v>1152</v>
      </c>
      <c r="F91" s="102">
        <v>0</v>
      </c>
      <c r="G91" s="100" t="s">
        <v>1153</v>
      </c>
      <c r="H91" s="99">
        <v>89</v>
      </c>
      <c r="I91" s="99">
        <f>VLOOKUP(G91,m2mFormatLUT!$B$2:$D$17,2,FALSE)</f>
        <v>0</v>
      </c>
      <c r="J91" s="99" t="str">
        <f>IF(E91=m2mFormatLUT!$A$2,CONCATENATE(DEC2HEX(I91,1),DEC2HEX(H91,3)),CONCATENATE(DEC2HEX(240,2),DEC2HEX(I91,1),DEC2HEX(H91,5)))</f>
        <v>0059</v>
      </c>
      <c r="K91" s="99">
        <v>0</v>
      </c>
      <c r="L91" s="99">
        <f>IF(I91=6,(LEN(K91)+1)*8,IF(I91=7,(1 + HEX2DEC(MID(K91,3,FIND(",",K91)-3)))*8,IF(I91=14,(LEN(K91)+1)*16,IF(I91=15,(1 + HEX2DEC(MID(K91,3,FIND(",",K91)-3)))*16,VLOOKUP(G91,m2mFormatLUT!$B$2:$D$17,3,FALSE)))))</f>
        <v>1</v>
      </c>
    </row>
    <row r="92" spans="1:12" x14ac:dyDescent="0.55000000000000004">
      <c r="A92" s="99" t="s">
        <v>495</v>
      </c>
      <c r="B92" s="105" t="s">
        <v>496</v>
      </c>
      <c r="C92" s="100" t="s">
        <v>265</v>
      </c>
      <c r="D92" s="106" t="s">
        <v>103</v>
      </c>
      <c r="E92" s="101" t="s">
        <v>1152</v>
      </c>
      <c r="F92" s="102">
        <v>0</v>
      </c>
      <c r="G92" s="100" t="s">
        <v>1153</v>
      </c>
      <c r="H92" s="99">
        <v>90</v>
      </c>
      <c r="I92" s="99">
        <f>VLOOKUP(G92,m2mFormatLUT!$B$2:$D$17,2,FALSE)</f>
        <v>0</v>
      </c>
      <c r="J92" s="99" t="str">
        <f>IF(E92=m2mFormatLUT!$A$2,CONCATENATE(DEC2HEX(I92,1),DEC2HEX(H92,3)),CONCATENATE(DEC2HEX(240,2),DEC2HEX(I92,1),DEC2HEX(H92,5)))</f>
        <v>005A</v>
      </c>
      <c r="K92" s="99">
        <v>0</v>
      </c>
      <c r="L92" s="99">
        <f>IF(I92=6,(LEN(K92)+1)*8,IF(I92=7,(1 + HEX2DEC(MID(K92,3,FIND(",",K92)-3)))*8,IF(I92=14,(LEN(K92)+1)*16,IF(I92=15,(1 + HEX2DEC(MID(K92,3,FIND(",",K92)-3)))*16,VLOOKUP(G92,m2mFormatLUT!$B$2:$D$17,3,FALSE)))))</f>
        <v>1</v>
      </c>
    </row>
    <row r="93" spans="1:12" x14ac:dyDescent="0.55000000000000004">
      <c r="A93" s="99" t="s">
        <v>497</v>
      </c>
      <c r="B93" s="105" t="s">
        <v>498</v>
      </c>
      <c r="C93" s="100" t="s">
        <v>265</v>
      </c>
      <c r="D93" s="106" t="s">
        <v>103</v>
      </c>
      <c r="E93" s="101" t="s">
        <v>1152</v>
      </c>
      <c r="F93" s="102">
        <v>0</v>
      </c>
      <c r="G93" s="100" t="s">
        <v>1153</v>
      </c>
      <c r="H93" s="99">
        <v>91</v>
      </c>
      <c r="I93" s="99">
        <f>VLOOKUP(G93,m2mFormatLUT!$B$2:$D$17,2,FALSE)</f>
        <v>0</v>
      </c>
      <c r="J93" s="99" t="str">
        <f>IF(E93=m2mFormatLUT!$A$2,CONCATENATE(DEC2HEX(I93,1),DEC2HEX(H93,3)),CONCATENATE(DEC2HEX(240,2),DEC2HEX(I93,1),DEC2HEX(H93,5)))</f>
        <v>005B</v>
      </c>
      <c r="K93" s="99">
        <v>0</v>
      </c>
      <c r="L93" s="99">
        <f>IF(I93=6,(LEN(K93)+1)*8,IF(I93=7,(1 + HEX2DEC(MID(K93,3,FIND(",",K93)-3)))*8,IF(I93=14,(LEN(K93)+1)*16,IF(I93=15,(1 + HEX2DEC(MID(K93,3,FIND(",",K93)-3)))*16,VLOOKUP(G93,m2mFormatLUT!$B$2:$D$17,3,FALSE)))))</f>
        <v>1</v>
      </c>
    </row>
    <row r="94" spans="1:12" x14ac:dyDescent="0.55000000000000004">
      <c r="A94" s="99" t="s">
        <v>499</v>
      </c>
      <c r="B94" s="105" t="s">
        <v>500</v>
      </c>
      <c r="C94" s="100" t="s">
        <v>265</v>
      </c>
      <c r="D94" s="106" t="s">
        <v>103</v>
      </c>
      <c r="E94" s="101" t="s">
        <v>1152</v>
      </c>
      <c r="F94" s="102">
        <v>0</v>
      </c>
      <c r="G94" s="100" t="s">
        <v>1153</v>
      </c>
      <c r="H94" s="99">
        <v>92</v>
      </c>
      <c r="I94" s="99">
        <f>VLOOKUP(G94,m2mFormatLUT!$B$2:$D$17,2,FALSE)</f>
        <v>0</v>
      </c>
      <c r="J94" s="99" t="str">
        <f>IF(E94=m2mFormatLUT!$A$2,CONCATENATE(DEC2HEX(I94,1),DEC2HEX(H94,3)),CONCATENATE(DEC2HEX(240,2),DEC2HEX(I94,1),DEC2HEX(H94,5)))</f>
        <v>005C</v>
      </c>
      <c r="K94" s="99">
        <v>0</v>
      </c>
      <c r="L94" s="99">
        <f>IF(I94=6,(LEN(K94)+1)*8,IF(I94=7,(1 + HEX2DEC(MID(K94,3,FIND(",",K94)-3)))*8,IF(I94=14,(LEN(K94)+1)*16,IF(I94=15,(1 + HEX2DEC(MID(K94,3,FIND(",",K94)-3)))*16,VLOOKUP(G94,m2mFormatLUT!$B$2:$D$17,3,FALSE)))))</f>
        <v>1</v>
      </c>
    </row>
    <row r="95" spans="1:12" x14ac:dyDescent="0.55000000000000004">
      <c r="A95" s="99" t="s">
        <v>501</v>
      </c>
      <c r="B95" s="105" t="s">
        <v>502</v>
      </c>
      <c r="C95" s="100" t="s">
        <v>265</v>
      </c>
      <c r="D95" s="106" t="s">
        <v>103</v>
      </c>
      <c r="E95" s="101" t="s">
        <v>1152</v>
      </c>
      <c r="F95" s="102">
        <v>0</v>
      </c>
      <c r="G95" s="100" t="s">
        <v>1153</v>
      </c>
      <c r="H95" s="99">
        <v>93</v>
      </c>
      <c r="I95" s="99">
        <f>VLOOKUP(G95,m2mFormatLUT!$B$2:$D$17,2,FALSE)</f>
        <v>0</v>
      </c>
      <c r="J95" s="99" t="str">
        <f>IF(E95=m2mFormatLUT!$A$2,CONCATENATE(DEC2HEX(I95,1),DEC2HEX(H95,3)),CONCATENATE(DEC2HEX(240,2),DEC2HEX(I95,1),DEC2HEX(H95,5)))</f>
        <v>005D</v>
      </c>
      <c r="K95" s="99">
        <v>0</v>
      </c>
      <c r="L95" s="99">
        <f>IF(I95=6,(LEN(K95)+1)*8,IF(I95=7,(1 + HEX2DEC(MID(K95,3,FIND(",",K95)-3)))*8,IF(I95=14,(LEN(K95)+1)*16,IF(I95=15,(1 + HEX2DEC(MID(K95,3,FIND(",",K95)-3)))*16,VLOOKUP(G95,m2mFormatLUT!$B$2:$D$17,3,FALSE)))))</f>
        <v>1</v>
      </c>
    </row>
    <row r="96" spans="1:12" x14ac:dyDescent="0.55000000000000004">
      <c r="A96" s="99" t="s">
        <v>503</v>
      </c>
      <c r="B96" s="105" t="s">
        <v>504</v>
      </c>
      <c r="C96" s="100" t="s">
        <v>265</v>
      </c>
      <c r="D96" s="106" t="s">
        <v>103</v>
      </c>
      <c r="E96" s="101" t="s">
        <v>1152</v>
      </c>
      <c r="F96" s="102">
        <v>0</v>
      </c>
      <c r="G96" s="100" t="s">
        <v>1153</v>
      </c>
      <c r="H96" s="99">
        <v>94</v>
      </c>
      <c r="I96" s="99">
        <f>VLOOKUP(G96,m2mFormatLUT!$B$2:$D$17,2,FALSE)</f>
        <v>0</v>
      </c>
      <c r="J96" s="99" t="str">
        <f>IF(E96=m2mFormatLUT!$A$2,CONCATENATE(DEC2HEX(I96,1),DEC2HEX(H96,3)),CONCATENATE(DEC2HEX(240,2),DEC2HEX(I96,1),DEC2HEX(H96,5)))</f>
        <v>005E</v>
      </c>
      <c r="K96" s="99">
        <v>0</v>
      </c>
      <c r="L96" s="99">
        <f>IF(I96=6,(LEN(K96)+1)*8,IF(I96=7,(1 + HEX2DEC(MID(K96,3,FIND(",",K96)-3)))*8,IF(I96=14,(LEN(K96)+1)*16,IF(I96=15,(1 + HEX2DEC(MID(K96,3,FIND(",",K96)-3)))*16,VLOOKUP(G96,m2mFormatLUT!$B$2:$D$17,3,FALSE)))))</f>
        <v>1</v>
      </c>
    </row>
    <row r="97" spans="1:12" x14ac:dyDescent="0.55000000000000004">
      <c r="A97" s="99" t="s">
        <v>505</v>
      </c>
      <c r="B97" s="105" t="s">
        <v>506</v>
      </c>
      <c r="C97" s="100" t="s">
        <v>265</v>
      </c>
      <c r="D97" s="106" t="s">
        <v>103</v>
      </c>
      <c r="E97" s="101" t="s">
        <v>1152</v>
      </c>
      <c r="F97" s="102">
        <v>0</v>
      </c>
      <c r="G97" s="100" t="s">
        <v>1153</v>
      </c>
      <c r="H97" s="99">
        <v>95</v>
      </c>
      <c r="I97" s="99">
        <f>VLOOKUP(G97,m2mFormatLUT!$B$2:$D$17,2,FALSE)</f>
        <v>0</v>
      </c>
      <c r="J97" s="99" t="str">
        <f>IF(E97=m2mFormatLUT!$A$2,CONCATENATE(DEC2HEX(I97,1),DEC2HEX(H97,3)),CONCATENATE(DEC2HEX(240,2),DEC2HEX(I97,1),DEC2HEX(H97,5)))</f>
        <v>005F</v>
      </c>
      <c r="K97" s="99">
        <v>0</v>
      </c>
      <c r="L97" s="99">
        <f>IF(I97=6,(LEN(K97)+1)*8,IF(I97=7,(1 + HEX2DEC(MID(K97,3,FIND(",",K97)-3)))*8,IF(I97=14,(LEN(K97)+1)*16,IF(I97=15,(1 + HEX2DEC(MID(K97,3,FIND(",",K97)-3)))*16,VLOOKUP(G97,m2mFormatLUT!$B$2:$D$17,3,FALSE)))))</f>
        <v>1</v>
      </c>
    </row>
    <row r="98" spans="1:12" x14ac:dyDescent="0.55000000000000004">
      <c r="A98" s="99" t="s">
        <v>507</v>
      </c>
      <c r="B98" s="105" t="s">
        <v>508</v>
      </c>
      <c r="C98" s="100" t="s">
        <v>265</v>
      </c>
      <c r="D98" s="106" t="s">
        <v>103</v>
      </c>
      <c r="E98" s="101" t="s">
        <v>1152</v>
      </c>
      <c r="F98" s="102">
        <v>0</v>
      </c>
      <c r="G98" s="100" t="s">
        <v>1153</v>
      </c>
      <c r="H98" s="99">
        <v>96</v>
      </c>
      <c r="I98" s="99">
        <f>VLOOKUP(G98,m2mFormatLUT!$B$2:$D$17,2,FALSE)</f>
        <v>0</v>
      </c>
      <c r="J98" s="99" t="str">
        <f>IF(E98=m2mFormatLUT!$A$2,CONCATENATE(DEC2HEX(I98,1),DEC2HEX(H98,3)),CONCATENATE(DEC2HEX(240,2),DEC2HEX(I98,1),DEC2HEX(H98,5)))</f>
        <v>0060</v>
      </c>
      <c r="K98" s="99">
        <v>0</v>
      </c>
      <c r="L98" s="99">
        <f>IF(I98=6,(LEN(K98)+1)*8,IF(I98=7,(1 + HEX2DEC(MID(K98,3,FIND(",",K98)-3)))*8,IF(I98=14,(LEN(K98)+1)*16,IF(I98=15,(1 + HEX2DEC(MID(K98,3,FIND(",",K98)-3)))*16,VLOOKUP(G98,m2mFormatLUT!$B$2:$D$17,3,FALSE)))))</f>
        <v>1</v>
      </c>
    </row>
    <row r="99" spans="1:12" x14ac:dyDescent="0.55000000000000004">
      <c r="A99" s="99" t="s">
        <v>509</v>
      </c>
      <c r="B99" s="105" t="s">
        <v>510</v>
      </c>
      <c r="C99" s="100" t="s">
        <v>265</v>
      </c>
      <c r="D99" s="106" t="s">
        <v>103</v>
      </c>
      <c r="E99" s="101" t="s">
        <v>1152</v>
      </c>
      <c r="F99" s="102">
        <v>0</v>
      </c>
      <c r="G99" s="100" t="s">
        <v>1153</v>
      </c>
      <c r="H99" s="99">
        <v>97</v>
      </c>
      <c r="I99" s="99">
        <f>VLOOKUP(G99,m2mFormatLUT!$B$2:$D$17,2,FALSE)</f>
        <v>0</v>
      </c>
      <c r="J99" s="99" t="str">
        <f>IF(E99=m2mFormatLUT!$A$2,CONCATENATE(DEC2HEX(I99,1),DEC2HEX(H99,3)),CONCATENATE(DEC2HEX(240,2),DEC2HEX(I99,1),DEC2HEX(H99,5)))</f>
        <v>0061</v>
      </c>
      <c r="K99" s="99">
        <v>0</v>
      </c>
      <c r="L99" s="99">
        <f>IF(I99=6,(LEN(K99)+1)*8,IF(I99=7,(1 + HEX2DEC(MID(K99,3,FIND(",",K99)-3)))*8,IF(I99=14,(LEN(K99)+1)*16,IF(I99=15,(1 + HEX2DEC(MID(K99,3,FIND(",",K99)-3)))*16,VLOOKUP(G99,m2mFormatLUT!$B$2:$D$17,3,FALSE)))))</f>
        <v>1</v>
      </c>
    </row>
    <row r="100" spans="1:12" x14ac:dyDescent="0.55000000000000004">
      <c r="A100" s="99" t="s">
        <v>511</v>
      </c>
      <c r="B100" s="105" t="s">
        <v>512</v>
      </c>
      <c r="C100" s="100" t="s">
        <v>265</v>
      </c>
      <c r="D100" s="106" t="s">
        <v>103</v>
      </c>
      <c r="E100" s="101" t="s">
        <v>1152</v>
      </c>
      <c r="F100" s="102">
        <v>0</v>
      </c>
      <c r="G100" s="100" t="s">
        <v>1153</v>
      </c>
      <c r="H100" s="99">
        <v>98</v>
      </c>
      <c r="I100" s="99">
        <f>VLOOKUP(G100,m2mFormatLUT!$B$2:$D$17,2,FALSE)</f>
        <v>0</v>
      </c>
      <c r="J100" s="99" t="str">
        <f>IF(E100=m2mFormatLUT!$A$2,CONCATENATE(DEC2HEX(I100,1),DEC2HEX(H100,3)),CONCATENATE(DEC2HEX(240,2),DEC2HEX(I100,1),DEC2HEX(H100,5)))</f>
        <v>0062</v>
      </c>
      <c r="K100" s="99">
        <v>0</v>
      </c>
      <c r="L100" s="99">
        <f>IF(I100=6,(LEN(K100)+1)*8,IF(I100=7,(1 + HEX2DEC(MID(K100,3,FIND(",",K100)-3)))*8,IF(I100=14,(LEN(K100)+1)*16,IF(I100=15,(1 + HEX2DEC(MID(K100,3,FIND(",",K100)-3)))*16,VLOOKUP(G100,m2mFormatLUT!$B$2:$D$17,3,FALSE)))))</f>
        <v>1</v>
      </c>
    </row>
    <row r="101" spans="1:12" x14ac:dyDescent="0.55000000000000004">
      <c r="A101" s="99" t="s">
        <v>515</v>
      </c>
      <c r="B101" s="105" t="s">
        <v>107</v>
      </c>
      <c r="C101" s="100" t="s">
        <v>265</v>
      </c>
      <c r="D101" s="106" t="s">
        <v>103</v>
      </c>
      <c r="E101" s="101" t="s">
        <v>1152</v>
      </c>
      <c r="F101" s="102">
        <v>0</v>
      </c>
      <c r="G101" s="100" t="s">
        <v>1153</v>
      </c>
      <c r="H101" s="99">
        <v>99</v>
      </c>
      <c r="I101" s="99">
        <f>VLOOKUP(G101,m2mFormatLUT!$B$2:$D$17,2,FALSE)</f>
        <v>0</v>
      </c>
      <c r="J101" s="99" t="str">
        <f>IF(E101=m2mFormatLUT!$A$2,CONCATENATE(DEC2HEX(I101,1),DEC2HEX(H101,3)),CONCATENATE(DEC2HEX(240,2),DEC2HEX(I101,1),DEC2HEX(H101,5)))</f>
        <v>0063</v>
      </c>
      <c r="K101" s="99">
        <v>0</v>
      </c>
      <c r="L101" s="99">
        <f>IF(I101=6,(LEN(K101)+1)*8,IF(I101=7,(1 + HEX2DEC(MID(K101,3,FIND(",",K101)-3)))*8,IF(I101=14,(LEN(K101)+1)*16,IF(I101=15,(1 + HEX2DEC(MID(K101,3,FIND(",",K101)-3)))*16,VLOOKUP(G101,m2mFormatLUT!$B$2:$D$17,3,FALSE)))))</f>
        <v>1</v>
      </c>
    </row>
    <row r="102" spans="1:12" x14ac:dyDescent="0.55000000000000004">
      <c r="A102" s="99" t="s">
        <v>518</v>
      </c>
      <c r="B102" s="105" t="s">
        <v>519</v>
      </c>
      <c r="C102" s="100" t="s">
        <v>265</v>
      </c>
      <c r="D102" s="106" t="s">
        <v>103</v>
      </c>
      <c r="E102" s="101" t="s">
        <v>1152</v>
      </c>
      <c r="F102" s="102">
        <v>0</v>
      </c>
      <c r="G102" s="100" t="s">
        <v>1153</v>
      </c>
      <c r="H102" s="99">
        <v>100</v>
      </c>
      <c r="I102" s="99">
        <f>VLOOKUP(G102,m2mFormatLUT!$B$2:$D$17,2,FALSE)</f>
        <v>0</v>
      </c>
      <c r="J102" s="99" t="str">
        <f>IF(E102=m2mFormatLUT!$A$2,CONCATENATE(DEC2HEX(I102,1),DEC2HEX(H102,3)),CONCATENATE(DEC2HEX(240,2),DEC2HEX(I102,1),DEC2HEX(H102,5)))</f>
        <v>0064</v>
      </c>
      <c r="K102" s="99">
        <v>0</v>
      </c>
      <c r="L102" s="99">
        <f>IF(I102=6,(LEN(K102)+1)*8,IF(I102=7,(1 + HEX2DEC(MID(K102,3,FIND(",",K102)-3)))*8,IF(I102=14,(LEN(K102)+1)*16,IF(I102=15,(1 + HEX2DEC(MID(K102,3,FIND(",",K102)-3)))*16,VLOOKUP(G102,m2mFormatLUT!$B$2:$D$17,3,FALSE)))))</f>
        <v>1</v>
      </c>
    </row>
    <row r="103" spans="1:12" x14ac:dyDescent="0.55000000000000004">
      <c r="A103" s="99" t="s">
        <v>520</v>
      </c>
      <c r="B103" s="105" t="s">
        <v>521</v>
      </c>
      <c r="C103" s="100" t="s">
        <v>265</v>
      </c>
      <c r="D103" s="106" t="s">
        <v>103</v>
      </c>
      <c r="E103" s="101" t="s">
        <v>1152</v>
      </c>
      <c r="F103" s="102">
        <v>0</v>
      </c>
      <c r="G103" s="100" t="s">
        <v>1153</v>
      </c>
      <c r="H103" s="99">
        <v>101</v>
      </c>
      <c r="I103" s="99">
        <f>VLOOKUP(G103,m2mFormatLUT!$B$2:$D$17,2,FALSE)</f>
        <v>0</v>
      </c>
      <c r="J103" s="99" t="str">
        <f>IF(E103=m2mFormatLUT!$A$2,CONCATENATE(DEC2HEX(I103,1),DEC2HEX(H103,3)),CONCATENATE(DEC2HEX(240,2),DEC2HEX(I103,1),DEC2HEX(H103,5)))</f>
        <v>0065</v>
      </c>
      <c r="K103" s="99">
        <v>0</v>
      </c>
      <c r="L103" s="99">
        <f>IF(I103=6,(LEN(K103)+1)*8,IF(I103=7,(1 + HEX2DEC(MID(K103,3,FIND(",",K103)-3)))*8,IF(I103=14,(LEN(K103)+1)*16,IF(I103=15,(1 + HEX2DEC(MID(K103,3,FIND(",",K103)-3)))*16,VLOOKUP(G103,m2mFormatLUT!$B$2:$D$17,3,FALSE)))))</f>
        <v>1</v>
      </c>
    </row>
    <row r="104" spans="1:12" x14ac:dyDescent="0.55000000000000004">
      <c r="A104" s="99" t="s">
        <v>522</v>
      </c>
      <c r="B104" s="105" t="s">
        <v>523</v>
      </c>
      <c r="C104" s="100" t="s">
        <v>265</v>
      </c>
      <c r="D104" s="106" t="s">
        <v>103</v>
      </c>
      <c r="E104" s="101" t="s">
        <v>1152</v>
      </c>
      <c r="F104" s="102">
        <v>0</v>
      </c>
      <c r="G104" s="100" t="s">
        <v>1153</v>
      </c>
      <c r="H104" s="99">
        <v>102</v>
      </c>
      <c r="I104" s="99">
        <f>VLOOKUP(G104,m2mFormatLUT!$B$2:$D$17,2,FALSE)</f>
        <v>0</v>
      </c>
      <c r="J104" s="99" t="str">
        <f>IF(E104=m2mFormatLUT!$A$2,CONCATENATE(DEC2HEX(I104,1),DEC2HEX(H104,3)),CONCATENATE(DEC2HEX(240,2),DEC2HEX(I104,1),DEC2HEX(H104,5)))</f>
        <v>0066</v>
      </c>
      <c r="K104" s="99">
        <v>0</v>
      </c>
      <c r="L104" s="99">
        <f>IF(I104=6,(LEN(K104)+1)*8,IF(I104=7,(1 + HEX2DEC(MID(K104,3,FIND(",",K104)-3)))*8,IF(I104=14,(LEN(K104)+1)*16,IF(I104=15,(1 + HEX2DEC(MID(K104,3,FIND(",",K104)-3)))*16,VLOOKUP(G104,m2mFormatLUT!$B$2:$D$17,3,FALSE)))))</f>
        <v>1</v>
      </c>
    </row>
    <row r="105" spans="1:12" x14ac:dyDescent="0.55000000000000004">
      <c r="A105" s="99" t="s">
        <v>524</v>
      </c>
      <c r="B105" s="105" t="s">
        <v>525</v>
      </c>
      <c r="C105" s="100" t="s">
        <v>265</v>
      </c>
      <c r="D105" s="106" t="s">
        <v>103</v>
      </c>
      <c r="E105" s="101" t="s">
        <v>1152</v>
      </c>
      <c r="F105" s="102">
        <v>0</v>
      </c>
      <c r="G105" s="100" t="s">
        <v>1153</v>
      </c>
      <c r="H105" s="99">
        <v>103</v>
      </c>
      <c r="I105" s="99">
        <f>VLOOKUP(G105,m2mFormatLUT!$B$2:$D$17,2,FALSE)</f>
        <v>0</v>
      </c>
      <c r="J105" s="99" t="str">
        <f>IF(E105=m2mFormatLUT!$A$2,CONCATENATE(DEC2HEX(I105,1),DEC2HEX(H105,3)),CONCATENATE(DEC2HEX(240,2),DEC2HEX(I105,1),DEC2HEX(H105,5)))</f>
        <v>0067</v>
      </c>
      <c r="K105" s="99">
        <v>0</v>
      </c>
      <c r="L105" s="99">
        <f>IF(I105=6,(LEN(K105)+1)*8,IF(I105=7,(1 + HEX2DEC(MID(K105,3,FIND(",",K105)-3)))*8,IF(I105=14,(LEN(K105)+1)*16,IF(I105=15,(1 + HEX2DEC(MID(K105,3,FIND(",",K105)-3)))*16,VLOOKUP(G105,m2mFormatLUT!$B$2:$D$17,3,FALSE)))))</f>
        <v>1</v>
      </c>
    </row>
    <row r="106" spans="1:12" x14ac:dyDescent="0.55000000000000004">
      <c r="A106" s="99" t="s">
        <v>526</v>
      </c>
      <c r="B106" s="105" t="s">
        <v>527</v>
      </c>
      <c r="C106" s="100" t="s">
        <v>265</v>
      </c>
      <c r="D106" s="106" t="s">
        <v>103</v>
      </c>
      <c r="E106" s="101" t="s">
        <v>1152</v>
      </c>
      <c r="F106" s="102">
        <v>0</v>
      </c>
      <c r="G106" s="100" t="s">
        <v>1153</v>
      </c>
      <c r="H106" s="99">
        <v>104</v>
      </c>
      <c r="I106" s="99">
        <f>VLOOKUP(G106,m2mFormatLUT!$B$2:$D$17,2,FALSE)</f>
        <v>0</v>
      </c>
      <c r="J106" s="99" t="str">
        <f>IF(E106=m2mFormatLUT!$A$2,CONCATENATE(DEC2HEX(I106,1),DEC2HEX(H106,3)),CONCATENATE(DEC2HEX(240,2),DEC2HEX(I106,1),DEC2HEX(H106,5)))</f>
        <v>0068</v>
      </c>
      <c r="K106" s="99">
        <v>0</v>
      </c>
      <c r="L106" s="99">
        <f>IF(I106=6,(LEN(K106)+1)*8,IF(I106=7,(1 + HEX2DEC(MID(K106,3,FIND(",",K106)-3)))*8,IF(I106=14,(LEN(K106)+1)*16,IF(I106=15,(1 + HEX2DEC(MID(K106,3,FIND(",",K106)-3)))*16,VLOOKUP(G106,m2mFormatLUT!$B$2:$D$17,3,FALSE)))))</f>
        <v>1</v>
      </c>
    </row>
    <row r="107" spans="1:12" x14ac:dyDescent="0.55000000000000004">
      <c r="A107" s="99" t="s">
        <v>528</v>
      </c>
      <c r="B107" s="105" t="s">
        <v>529</v>
      </c>
      <c r="C107" s="100" t="s">
        <v>265</v>
      </c>
      <c r="D107" s="106" t="s">
        <v>103</v>
      </c>
      <c r="E107" s="101" t="s">
        <v>1152</v>
      </c>
      <c r="F107" s="102">
        <v>0</v>
      </c>
      <c r="G107" s="100" t="s">
        <v>1153</v>
      </c>
      <c r="H107" s="99">
        <v>105</v>
      </c>
      <c r="I107" s="99">
        <f>VLOOKUP(G107,m2mFormatLUT!$B$2:$D$17,2,FALSE)</f>
        <v>0</v>
      </c>
      <c r="J107" s="99" t="str">
        <f>IF(E107=m2mFormatLUT!$A$2,CONCATENATE(DEC2HEX(I107,1),DEC2HEX(H107,3)),CONCATENATE(DEC2HEX(240,2),DEC2HEX(I107,1),DEC2HEX(H107,5)))</f>
        <v>0069</v>
      </c>
      <c r="K107" s="99">
        <v>0</v>
      </c>
      <c r="L107" s="99">
        <f>IF(I107=6,(LEN(K107)+1)*8,IF(I107=7,(1 + HEX2DEC(MID(K107,3,FIND(",",K107)-3)))*8,IF(I107=14,(LEN(K107)+1)*16,IF(I107=15,(1 + HEX2DEC(MID(K107,3,FIND(",",K107)-3)))*16,VLOOKUP(G107,m2mFormatLUT!$B$2:$D$17,3,FALSE)))))</f>
        <v>1</v>
      </c>
    </row>
    <row r="108" spans="1:12" x14ac:dyDescent="0.55000000000000004">
      <c r="A108" s="99" t="s">
        <v>530</v>
      </c>
      <c r="B108" s="105" t="s">
        <v>531</v>
      </c>
      <c r="C108" s="100" t="s">
        <v>265</v>
      </c>
      <c r="D108" s="106" t="s">
        <v>103</v>
      </c>
      <c r="E108" s="101" t="s">
        <v>1152</v>
      </c>
      <c r="F108" s="102">
        <v>0</v>
      </c>
      <c r="G108" s="100" t="s">
        <v>1153</v>
      </c>
      <c r="H108" s="99">
        <v>106</v>
      </c>
      <c r="I108" s="99">
        <f>VLOOKUP(G108,m2mFormatLUT!$B$2:$D$17,2,FALSE)</f>
        <v>0</v>
      </c>
      <c r="J108" s="99" t="str">
        <f>IF(E108=m2mFormatLUT!$A$2,CONCATENATE(DEC2HEX(I108,1),DEC2HEX(H108,3)),CONCATENATE(DEC2HEX(240,2),DEC2HEX(I108,1),DEC2HEX(H108,5)))</f>
        <v>006A</v>
      </c>
      <c r="K108" s="99">
        <v>0</v>
      </c>
      <c r="L108" s="99">
        <f>IF(I108=6,(LEN(K108)+1)*8,IF(I108=7,(1 + HEX2DEC(MID(K108,3,FIND(",",K108)-3)))*8,IF(I108=14,(LEN(K108)+1)*16,IF(I108=15,(1 + HEX2DEC(MID(K108,3,FIND(",",K108)-3)))*16,VLOOKUP(G108,m2mFormatLUT!$B$2:$D$17,3,FALSE)))))</f>
        <v>1</v>
      </c>
    </row>
    <row r="109" spans="1:12" x14ac:dyDescent="0.55000000000000004">
      <c r="A109" s="99" t="s">
        <v>532</v>
      </c>
      <c r="B109" s="105" t="s">
        <v>533</v>
      </c>
      <c r="C109" s="100" t="s">
        <v>265</v>
      </c>
      <c r="D109" s="106" t="s">
        <v>103</v>
      </c>
      <c r="E109" s="101" t="s">
        <v>1152</v>
      </c>
      <c r="F109" s="102">
        <v>0</v>
      </c>
      <c r="G109" s="100" t="s">
        <v>1153</v>
      </c>
      <c r="H109" s="99">
        <v>107</v>
      </c>
      <c r="I109" s="99">
        <f>VLOOKUP(G109,m2mFormatLUT!$B$2:$D$17,2,FALSE)</f>
        <v>0</v>
      </c>
      <c r="J109" s="99" t="str">
        <f>IF(E109=m2mFormatLUT!$A$2,CONCATENATE(DEC2HEX(I109,1),DEC2HEX(H109,3)),CONCATENATE(DEC2HEX(240,2),DEC2HEX(I109,1),DEC2HEX(H109,5)))</f>
        <v>006B</v>
      </c>
      <c r="K109" s="99">
        <v>0</v>
      </c>
      <c r="L109" s="99">
        <f>IF(I109=6,(LEN(K109)+1)*8,IF(I109=7,(1 + HEX2DEC(MID(K109,3,FIND(",",K109)-3)))*8,IF(I109=14,(LEN(K109)+1)*16,IF(I109=15,(1 + HEX2DEC(MID(K109,3,FIND(",",K109)-3)))*16,VLOOKUP(G109,m2mFormatLUT!$B$2:$D$17,3,FALSE)))))</f>
        <v>1</v>
      </c>
    </row>
    <row r="110" spans="1:12" x14ac:dyDescent="0.55000000000000004">
      <c r="A110" s="99" t="s">
        <v>534</v>
      </c>
      <c r="B110" s="105" t="s">
        <v>108</v>
      </c>
      <c r="C110" s="100" t="s">
        <v>265</v>
      </c>
      <c r="D110" s="106" t="s">
        <v>103</v>
      </c>
      <c r="E110" s="101" t="s">
        <v>1152</v>
      </c>
      <c r="F110" s="102">
        <v>0</v>
      </c>
      <c r="G110" s="100" t="s">
        <v>1153</v>
      </c>
      <c r="H110" s="99">
        <v>108</v>
      </c>
      <c r="I110" s="99">
        <f>VLOOKUP(G110,m2mFormatLUT!$B$2:$D$17,2,FALSE)</f>
        <v>0</v>
      </c>
      <c r="J110" s="99" t="str">
        <f>IF(E110=m2mFormatLUT!$A$2,CONCATENATE(DEC2HEX(I110,1),DEC2HEX(H110,3)),CONCATENATE(DEC2HEX(240,2),DEC2HEX(I110,1),DEC2HEX(H110,5)))</f>
        <v>006C</v>
      </c>
      <c r="K110" s="99">
        <v>0</v>
      </c>
      <c r="L110" s="99">
        <f>IF(I110=6,(LEN(K110)+1)*8,IF(I110=7,(1 + HEX2DEC(MID(K110,3,FIND(",",K110)-3)))*8,IF(I110=14,(LEN(K110)+1)*16,IF(I110=15,(1 + HEX2DEC(MID(K110,3,FIND(",",K110)-3)))*16,VLOOKUP(G110,m2mFormatLUT!$B$2:$D$17,3,FALSE)))))</f>
        <v>1</v>
      </c>
    </row>
    <row r="111" spans="1:12" x14ac:dyDescent="0.55000000000000004">
      <c r="A111" s="99" t="s">
        <v>535</v>
      </c>
      <c r="B111" s="105" t="s">
        <v>109</v>
      </c>
      <c r="C111" s="100" t="s">
        <v>265</v>
      </c>
      <c r="D111" s="106" t="s">
        <v>103</v>
      </c>
      <c r="E111" s="101" t="s">
        <v>1152</v>
      </c>
      <c r="F111" s="102">
        <v>0</v>
      </c>
      <c r="G111" s="100" t="s">
        <v>1153</v>
      </c>
      <c r="H111" s="99">
        <v>109</v>
      </c>
      <c r="I111" s="99">
        <f>VLOOKUP(G111,m2mFormatLUT!$B$2:$D$17,2,FALSE)</f>
        <v>0</v>
      </c>
      <c r="J111" s="99" t="str">
        <f>IF(E111=m2mFormatLUT!$A$2,CONCATENATE(DEC2HEX(I111,1),DEC2HEX(H111,3)),CONCATENATE(DEC2HEX(240,2),DEC2HEX(I111,1),DEC2HEX(H111,5)))</f>
        <v>006D</v>
      </c>
      <c r="K111" s="99">
        <v>0</v>
      </c>
      <c r="L111" s="99">
        <f>IF(I111=6,(LEN(K111)+1)*8,IF(I111=7,(1 + HEX2DEC(MID(K111,3,FIND(",",K111)-3)))*8,IF(I111=14,(LEN(K111)+1)*16,IF(I111=15,(1 + HEX2DEC(MID(K111,3,FIND(",",K111)-3)))*16,VLOOKUP(G111,m2mFormatLUT!$B$2:$D$17,3,FALSE)))))</f>
        <v>1</v>
      </c>
    </row>
    <row r="112" spans="1:12" x14ac:dyDescent="0.55000000000000004">
      <c r="A112" s="99" t="s">
        <v>536</v>
      </c>
      <c r="B112" s="105" t="s">
        <v>110</v>
      </c>
      <c r="C112" s="100" t="s">
        <v>265</v>
      </c>
      <c r="D112" s="106" t="s">
        <v>103</v>
      </c>
      <c r="E112" s="101" t="s">
        <v>1152</v>
      </c>
      <c r="F112" s="102">
        <v>0</v>
      </c>
      <c r="G112" s="100" t="s">
        <v>1153</v>
      </c>
      <c r="H112" s="99">
        <v>110</v>
      </c>
      <c r="I112" s="99">
        <f>VLOOKUP(G112,m2mFormatLUT!$B$2:$D$17,2,FALSE)</f>
        <v>0</v>
      </c>
      <c r="J112" s="99" t="str">
        <f>IF(E112=m2mFormatLUT!$A$2,CONCATENATE(DEC2HEX(I112,1),DEC2HEX(H112,3)),CONCATENATE(DEC2HEX(240,2),DEC2HEX(I112,1),DEC2HEX(H112,5)))</f>
        <v>006E</v>
      </c>
      <c r="K112" s="99">
        <v>0</v>
      </c>
      <c r="L112" s="99">
        <f>IF(I112=6,(LEN(K112)+1)*8,IF(I112=7,(1 + HEX2DEC(MID(K112,3,FIND(",",K112)-3)))*8,IF(I112=14,(LEN(K112)+1)*16,IF(I112=15,(1 + HEX2DEC(MID(K112,3,FIND(",",K112)-3)))*16,VLOOKUP(G112,m2mFormatLUT!$B$2:$D$17,3,FALSE)))))</f>
        <v>1</v>
      </c>
    </row>
    <row r="113" spans="1:14" x14ac:dyDescent="0.55000000000000004">
      <c r="A113" s="99" t="s">
        <v>539</v>
      </c>
      <c r="B113" s="105" t="s">
        <v>111</v>
      </c>
      <c r="C113" s="100" t="s">
        <v>265</v>
      </c>
      <c r="D113" s="106" t="s">
        <v>103</v>
      </c>
      <c r="E113" s="101" t="s">
        <v>1152</v>
      </c>
      <c r="F113" s="102">
        <v>0</v>
      </c>
      <c r="G113" s="100" t="s">
        <v>1153</v>
      </c>
      <c r="H113" s="99">
        <v>111</v>
      </c>
      <c r="I113" s="99">
        <f>VLOOKUP(G113,m2mFormatLUT!$B$2:$D$17,2,FALSE)</f>
        <v>0</v>
      </c>
      <c r="J113" s="99" t="str">
        <f>IF(E113=m2mFormatLUT!$A$2,CONCATENATE(DEC2HEX(I113,1),DEC2HEX(H113,3)),CONCATENATE(DEC2HEX(240,2),DEC2HEX(I113,1),DEC2HEX(H113,5)))</f>
        <v>006F</v>
      </c>
      <c r="K113" s="99">
        <v>0</v>
      </c>
      <c r="L113" s="99">
        <f>IF(I113=6,(LEN(K113)+1)*8,IF(I113=7,(1 + HEX2DEC(MID(K113,3,FIND(",",K113)-3)))*8,IF(I113=14,(LEN(K113)+1)*16,IF(I113=15,(1 + HEX2DEC(MID(K113,3,FIND(",",K113)-3)))*16,VLOOKUP(G113,m2mFormatLUT!$B$2:$D$17,3,FALSE)))))</f>
        <v>1</v>
      </c>
    </row>
    <row r="114" spans="1:14" x14ac:dyDescent="0.55000000000000004">
      <c r="A114" s="107" t="s">
        <v>540</v>
      </c>
      <c r="B114" s="105" t="s">
        <v>112</v>
      </c>
      <c r="C114" s="100" t="s">
        <v>265</v>
      </c>
      <c r="D114" s="106" t="s">
        <v>103</v>
      </c>
      <c r="E114" s="101" t="s">
        <v>1152</v>
      </c>
      <c r="F114" s="102">
        <v>0</v>
      </c>
      <c r="G114" s="100" t="s">
        <v>1153</v>
      </c>
      <c r="H114" s="99">
        <v>112</v>
      </c>
      <c r="I114" s="99">
        <f>VLOOKUP(G114,m2mFormatLUT!$B$2:$D$17,2,FALSE)</f>
        <v>0</v>
      </c>
      <c r="J114" s="99" t="str">
        <f>IF(E114=m2mFormatLUT!$A$2,CONCATENATE(DEC2HEX(I114,1),DEC2HEX(H114,3)),CONCATENATE(DEC2HEX(240,2),DEC2HEX(I114,1),DEC2HEX(H114,5)))</f>
        <v>0070</v>
      </c>
      <c r="K114" s="99">
        <v>0</v>
      </c>
      <c r="L114" s="99">
        <f>IF(I114=6,(LEN(K114)+1)*8,IF(I114=7,(1 + HEX2DEC(MID(K114,3,FIND(",",K114)-3)))*8,IF(I114=14,(LEN(K114)+1)*16,IF(I114=15,(1 + HEX2DEC(MID(K114,3,FIND(",",K114)-3)))*16,VLOOKUP(G114,m2mFormatLUT!$B$2:$D$17,3,FALSE)))))</f>
        <v>1</v>
      </c>
      <c r="N114" s="99" t="s">
        <v>1155</v>
      </c>
    </row>
    <row r="115" spans="1:14" x14ac:dyDescent="0.55000000000000004">
      <c r="A115" s="107" t="s">
        <v>541</v>
      </c>
      <c r="B115" s="105" t="s">
        <v>542</v>
      </c>
      <c r="C115" s="100" t="s">
        <v>265</v>
      </c>
      <c r="D115" s="106" t="s">
        <v>103</v>
      </c>
      <c r="E115" s="101" t="s">
        <v>1152</v>
      </c>
      <c r="F115" s="102">
        <v>0</v>
      </c>
      <c r="G115" s="100" t="s">
        <v>1153</v>
      </c>
      <c r="H115" s="99">
        <v>113</v>
      </c>
      <c r="I115" s="99">
        <f>VLOOKUP(G115,m2mFormatLUT!$B$2:$D$17,2,FALSE)</f>
        <v>0</v>
      </c>
      <c r="J115" s="99" t="str">
        <f>IF(E115=m2mFormatLUT!$A$2,CONCATENATE(DEC2HEX(I115,1),DEC2HEX(H115,3)),CONCATENATE(DEC2HEX(240,2),DEC2HEX(I115,1),DEC2HEX(H115,5)))</f>
        <v>0071</v>
      </c>
      <c r="K115" s="99">
        <v>0</v>
      </c>
      <c r="L115" s="99">
        <f>IF(I115=6,(LEN(K115)+1)*8,IF(I115=7,(1 + HEX2DEC(MID(K115,3,FIND(",",K115)-3)))*8,IF(I115=14,(LEN(K115)+1)*16,IF(I115=15,(1 + HEX2DEC(MID(K115,3,FIND(",",K115)-3)))*16,VLOOKUP(G115,m2mFormatLUT!$B$2:$D$17,3,FALSE)))))</f>
        <v>1</v>
      </c>
    </row>
    <row r="116" spans="1:14" x14ac:dyDescent="0.55000000000000004">
      <c r="A116" s="99" t="s">
        <v>543</v>
      </c>
      <c r="B116" s="105" t="s">
        <v>544</v>
      </c>
      <c r="C116" s="100" t="s">
        <v>265</v>
      </c>
      <c r="D116" s="106" t="s">
        <v>103</v>
      </c>
      <c r="E116" s="101" t="s">
        <v>1152</v>
      </c>
      <c r="F116" s="102">
        <v>0</v>
      </c>
      <c r="G116" s="100" t="s">
        <v>1153</v>
      </c>
      <c r="H116" s="99">
        <v>114</v>
      </c>
      <c r="I116" s="99">
        <f>VLOOKUP(G116,m2mFormatLUT!$B$2:$D$17,2,FALSE)</f>
        <v>0</v>
      </c>
      <c r="J116" s="99" t="str">
        <f>IF(E116=m2mFormatLUT!$A$2,CONCATENATE(DEC2HEX(I116,1),DEC2HEX(H116,3)),CONCATENATE(DEC2HEX(240,2),DEC2HEX(I116,1),DEC2HEX(H116,5)))</f>
        <v>0072</v>
      </c>
      <c r="K116" s="99">
        <v>0</v>
      </c>
      <c r="L116" s="99">
        <f>IF(I116=6,(LEN(K116)+1)*8,IF(I116=7,(1 + HEX2DEC(MID(K116,3,FIND(",",K116)-3)))*8,IF(I116=14,(LEN(K116)+1)*16,IF(I116=15,(1 + HEX2DEC(MID(K116,3,FIND(",",K116)-3)))*16,VLOOKUP(G116,m2mFormatLUT!$B$2:$D$17,3,FALSE)))))</f>
        <v>1</v>
      </c>
    </row>
    <row r="117" spans="1:14" x14ac:dyDescent="0.55000000000000004">
      <c r="A117" s="99" t="s">
        <v>545</v>
      </c>
      <c r="B117" s="105" t="s">
        <v>546</v>
      </c>
      <c r="C117" s="100" t="s">
        <v>265</v>
      </c>
      <c r="D117" s="106" t="s">
        <v>103</v>
      </c>
      <c r="E117" s="101" t="s">
        <v>1152</v>
      </c>
      <c r="F117" s="102">
        <v>0</v>
      </c>
      <c r="G117" s="100" t="s">
        <v>1153</v>
      </c>
      <c r="H117" s="99">
        <v>115</v>
      </c>
      <c r="I117" s="99">
        <f>VLOOKUP(G117,m2mFormatLUT!$B$2:$D$17,2,FALSE)</f>
        <v>0</v>
      </c>
      <c r="J117" s="99" t="str">
        <f>IF(E117=m2mFormatLUT!$A$2,CONCATENATE(DEC2HEX(I117,1),DEC2HEX(H117,3)),CONCATENATE(DEC2HEX(240,2),DEC2HEX(I117,1),DEC2HEX(H117,5)))</f>
        <v>0073</v>
      </c>
      <c r="K117" s="99">
        <v>0</v>
      </c>
      <c r="L117" s="99">
        <f>IF(I117=6,(LEN(K117)+1)*8,IF(I117=7,(1 + HEX2DEC(MID(K117,3,FIND(",",K117)-3)))*8,IF(I117=14,(LEN(K117)+1)*16,IF(I117=15,(1 + HEX2DEC(MID(K117,3,FIND(",",K117)-3)))*16,VLOOKUP(G117,m2mFormatLUT!$B$2:$D$17,3,FALSE)))))</f>
        <v>1</v>
      </c>
    </row>
    <row r="118" spans="1:14" x14ac:dyDescent="0.55000000000000004">
      <c r="A118" s="99" t="s">
        <v>547</v>
      </c>
      <c r="B118" s="105" t="s">
        <v>548</v>
      </c>
      <c r="C118" s="100" t="s">
        <v>265</v>
      </c>
      <c r="D118" s="106" t="s">
        <v>103</v>
      </c>
      <c r="E118" s="101" t="s">
        <v>1152</v>
      </c>
      <c r="F118" s="102">
        <v>0</v>
      </c>
      <c r="G118" s="100" t="s">
        <v>1153</v>
      </c>
      <c r="H118" s="99">
        <v>116</v>
      </c>
      <c r="I118" s="99">
        <f>VLOOKUP(G118,m2mFormatLUT!$B$2:$D$17,2,FALSE)</f>
        <v>0</v>
      </c>
      <c r="J118" s="99" t="str">
        <f>IF(E118=m2mFormatLUT!$A$2,CONCATENATE(DEC2HEX(I118,1),DEC2HEX(H118,3)),CONCATENATE(DEC2HEX(240,2),DEC2HEX(I118,1),DEC2HEX(H118,5)))</f>
        <v>0074</v>
      </c>
      <c r="K118" s="99">
        <v>0</v>
      </c>
      <c r="L118" s="99">
        <f>IF(I118=6,(LEN(K118)+1)*8,IF(I118=7,(1 + HEX2DEC(MID(K118,3,FIND(",",K118)-3)))*8,IF(I118=14,(LEN(K118)+1)*16,IF(I118=15,(1 + HEX2DEC(MID(K118,3,FIND(",",K118)-3)))*16,VLOOKUP(G118,m2mFormatLUT!$B$2:$D$17,3,FALSE)))))</f>
        <v>1</v>
      </c>
    </row>
    <row r="119" spans="1:14" x14ac:dyDescent="0.55000000000000004">
      <c r="A119" s="99" t="s">
        <v>549</v>
      </c>
      <c r="B119" s="105" t="s">
        <v>550</v>
      </c>
      <c r="C119" s="100" t="s">
        <v>265</v>
      </c>
      <c r="D119" s="106" t="s">
        <v>103</v>
      </c>
      <c r="E119" s="101" t="s">
        <v>1152</v>
      </c>
      <c r="F119" s="102">
        <v>0</v>
      </c>
      <c r="G119" s="100" t="s">
        <v>1153</v>
      </c>
      <c r="H119" s="99">
        <v>117</v>
      </c>
      <c r="I119" s="99">
        <f>VLOOKUP(G119,m2mFormatLUT!$B$2:$D$17,2,FALSE)</f>
        <v>0</v>
      </c>
      <c r="J119" s="99" t="str">
        <f>IF(E119=m2mFormatLUT!$A$2,CONCATENATE(DEC2HEX(I119,1),DEC2HEX(H119,3)),CONCATENATE(DEC2HEX(240,2),DEC2HEX(I119,1),DEC2HEX(H119,5)))</f>
        <v>0075</v>
      </c>
      <c r="K119" s="99">
        <v>0</v>
      </c>
      <c r="L119" s="99">
        <f>IF(I119=6,(LEN(K119)+1)*8,IF(I119=7,(1 + HEX2DEC(MID(K119,3,FIND(",",K119)-3)))*8,IF(I119=14,(LEN(K119)+1)*16,IF(I119=15,(1 + HEX2DEC(MID(K119,3,FIND(",",K119)-3)))*16,VLOOKUP(G119,m2mFormatLUT!$B$2:$D$17,3,FALSE)))))</f>
        <v>1</v>
      </c>
    </row>
    <row r="120" spans="1:14" x14ac:dyDescent="0.55000000000000004">
      <c r="A120" s="107" t="s">
        <v>551</v>
      </c>
      <c r="B120" s="105" t="s">
        <v>552</v>
      </c>
      <c r="C120" s="100" t="s">
        <v>265</v>
      </c>
      <c r="D120" s="106" t="s">
        <v>103</v>
      </c>
      <c r="E120" s="101" t="s">
        <v>1152</v>
      </c>
      <c r="F120" s="102">
        <v>0</v>
      </c>
      <c r="G120" s="100" t="s">
        <v>1153</v>
      </c>
      <c r="H120" s="99">
        <v>118</v>
      </c>
      <c r="I120" s="99">
        <f>VLOOKUP(G120,m2mFormatLUT!$B$2:$D$17,2,FALSE)</f>
        <v>0</v>
      </c>
      <c r="J120" s="99" t="str">
        <f>IF(E120=m2mFormatLUT!$A$2,CONCATENATE(DEC2HEX(I120,1),DEC2HEX(H120,3)),CONCATENATE(DEC2HEX(240,2),DEC2HEX(I120,1),DEC2HEX(H120,5)))</f>
        <v>0076</v>
      </c>
      <c r="K120" s="99">
        <v>0</v>
      </c>
      <c r="L120" s="99">
        <f>IF(I120=6,(LEN(K120)+1)*8,IF(I120=7,(1 + HEX2DEC(MID(K120,3,FIND(",",K120)-3)))*8,IF(I120=14,(LEN(K120)+1)*16,IF(I120=15,(1 + HEX2DEC(MID(K120,3,FIND(",",K120)-3)))*16,VLOOKUP(G120,m2mFormatLUT!$B$2:$D$17,3,FALSE)))))</f>
        <v>1</v>
      </c>
      <c r="N120" s="99" t="s">
        <v>1155</v>
      </c>
    </row>
    <row r="121" spans="1:14" x14ac:dyDescent="0.55000000000000004">
      <c r="A121" s="107" t="s">
        <v>553</v>
      </c>
      <c r="B121" s="105" t="s">
        <v>554</v>
      </c>
      <c r="C121" s="100" t="s">
        <v>265</v>
      </c>
      <c r="D121" s="106" t="s">
        <v>103</v>
      </c>
      <c r="E121" s="101" t="s">
        <v>1152</v>
      </c>
      <c r="F121" s="102">
        <v>0</v>
      </c>
      <c r="G121" s="100" t="s">
        <v>1153</v>
      </c>
      <c r="H121" s="99">
        <v>119</v>
      </c>
      <c r="I121" s="99">
        <f>VLOOKUP(G121,m2mFormatLUT!$B$2:$D$17,2,FALSE)</f>
        <v>0</v>
      </c>
      <c r="J121" s="99" t="str">
        <f>IF(E121=m2mFormatLUT!$A$2,CONCATENATE(DEC2HEX(I121,1),DEC2HEX(H121,3)),CONCATENATE(DEC2HEX(240,2),DEC2HEX(I121,1),DEC2HEX(H121,5)))</f>
        <v>0077</v>
      </c>
      <c r="K121" s="99">
        <v>0</v>
      </c>
      <c r="L121" s="99">
        <f>IF(I121=6,(LEN(K121)+1)*8,IF(I121=7,(1 + HEX2DEC(MID(K121,3,FIND(",",K121)-3)))*8,IF(I121=14,(LEN(K121)+1)*16,IF(I121=15,(1 + HEX2DEC(MID(K121,3,FIND(",",K121)-3)))*16,VLOOKUP(G121,m2mFormatLUT!$B$2:$D$17,3,FALSE)))))</f>
        <v>1</v>
      </c>
    </row>
    <row r="122" spans="1:14" x14ac:dyDescent="0.55000000000000004">
      <c r="A122" s="99" t="s">
        <v>555</v>
      </c>
      <c r="B122" s="105" t="s">
        <v>556</v>
      </c>
      <c r="C122" s="100" t="s">
        <v>265</v>
      </c>
      <c r="D122" s="106" t="s">
        <v>103</v>
      </c>
      <c r="E122" s="101" t="s">
        <v>1152</v>
      </c>
      <c r="F122" s="102">
        <v>0</v>
      </c>
      <c r="G122" s="100" t="s">
        <v>1153</v>
      </c>
      <c r="H122" s="99">
        <v>120</v>
      </c>
      <c r="I122" s="99">
        <f>VLOOKUP(G122,m2mFormatLUT!$B$2:$D$17,2,FALSE)</f>
        <v>0</v>
      </c>
      <c r="J122" s="99" t="str">
        <f>IF(E122=m2mFormatLUT!$A$2,CONCATENATE(DEC2HEX(I122,1),DEC2HEX(H122,3)),CONCATENATE(DEC2HEX(240,2),DEC2HEX(I122,1),DEC2HEX(H122,5)))</f>
        <v>0078</v>
      </c>
      <c r="K122" s="99">
        <v>0</v>
      </c>
      <c r="L122" s="99">
        <f>IF(I122=6,(LEN(K122)+1)*8,IF(I122=7,(1 + HEX2DEC(MID(K122,3,FIND(",",K122)-3)))*8,IF(I122=14,(LEN(K122)+1)*16,IF(I122=15,(1 + HEX2DEC(MID(K122,3,FIND(",",K122)-3)))*16,VLOOKUP(G122,m2mFormatLUT!$B$2:$D$17,3,FALSE)))))</f>
        <v>1</v>
      </c>
    </row>
    <row r="123" spans="1:14" x14ac:dyDescent="0.55000000000000004">
      <c r="A123" s="99" t="s">
        <v>557</v>
      </c>
      <c r="B123" s="105" t="s">
        <v>558</v>
      </c>
      <c r="C123" s="100" t="s">
        <v>265</v>
      </c>
      <c r="D123" s="106" t="s">
        <v>103</v>
      </c>
      <c r="E123" s="101" t="s">
        <v>1152</v>
      </c>
      <c r="F123" s="102">
        <v>0</v>
      </c>
      <c r="G123" s="100" t="s">
        <v>1153</v>
      </c>
      <c r="H123" s="99">
        <v>121</v>
      </c>
      <c r="I123" s="99">
        <f>VLOOKUP(G123,m2mFormatLUT!$B$2:$D$17,2,FALSE)</f>
        <v>0</v>
      </c>
      <c r="J123" s="99" t="str">
        <f>IF(E123=m2mFormatLUT!$A$2,CONCATENATE(DEC2HEX(I123,1),DEC2HEX(H123,3)),CONCATENATE(DEC2HEX(240,2),DEC2HEX(I123,1),DEC2HEX(H123,5)))</f>
        <v>0079</v>
      </c>
      <c r="K123" s="99">
        <v>0</v>
      </c>
      <c r="L123" s="99">
        <f>IF(I123=6,(LEN(K123)+1)*8,IF(I123=7,(1 + HEX2DEC(MID(K123,3,FIND(",",K123)-3)))*8,IF(I123=14,(LEN(K123)+1)*16,IF(I123=15,(1 + HEX2DEC(MID(K123,3,FIND(",",K123)-3)))*16,VLOOKUP(G123,m2mFormatLUT!$B$2:$D$17,3,FALSE)))))</f>
        <v>1</v>
      </c>
    </row>
    <row r="124" spans="1:14" x14ac:dyDescent="0.55000000000000004">
      <c r="A124" s="99" t="s">
        <v>559</v>
      </c>
      <c r="B124" s="105" t="s">
        <v>560</v>
      </c>
      <c r="C124" s="100" t="s">
        <v>265</v>
      </c>
      <c r="D124" s="106" t="s">
        <v>103</v>
      </c>
      <c r="E124" s="101" t="s">
        <v>1152</v>
      </c>
      <c r="F124" s="102">
        <v>0</v>
      </c>
      <c r="G124" s="100" t="s">
        <v>1153</v>
      </c>
      <c r="H124" s="99">
        <v>122</v>
      </c>
      <c r="I124" s="99">
        <f>VLOOKUP(G124,m2mFormatLUT!$B$2:$D$17,2,FALSE)</f>
        <v>0</v>
      </c>
      <c r="J124" s="99" t="str">
        <f>IF(E124=m2mFormatLUT!$A$2,CONCATENATE(DEC2HEX(I124,1),DEC2HEX(H124,3)),CONCATENATE(DEC2HEX(240,2),DEC2HEX(I124,1),DEC2HEX(H124,5)))</f>
        <v>007A</v>
      </c>
      <c r="K124" s="99">
        <v>0</v>
      </c>
      <c r="L124" s="99">
        <f>IF(I124=6,(LEN(K124)+1)*8,IF(I124=7,(1 + HEX2DEC(MID(K124,3,FIND(",",K124)-3)))*8,IF(I124=14,(LEN(K124)+1)*16,IF(I124=15,(1 + HEX2DEC(MID(K124,3,FIND(",",K124)-3)))*16,VLOOKUP(G124,m2mFormatLUT!$B$2:$D$17,3,FALSE)))))</f>
        <v>1</v>
      </c>
    </row>
    <row r="125" spans="1:14" x14ac:dyDescent="0.55000000000000004">
      <c r="A125" s="99" t="s">
        <v>561</v>
      </c>
      <c r="B125" s="105" t="s">
        <v>562</v>
      </c>
      <c r="C125" s="100" t="s">
        <v>265</v>
      </c>
      <c r="D125" s="106" t="s">
        <v>103</v>
      </c>
      <c r="E125" s="101" t="s">
        <v>1152</v>
      </c>
      <c r="F125" s="102">
        <v>0</v>
      </c>
      <c r="G125" s="100" t="s">
        <v>1153</v>
      </c>
      <c r="H125" s="99">
        <v>123</v>
      </c>
      <c r="I125" s="99">
        <f>VLOOKUP(G125,m2mFormatLUT!$B$2:$D$17,2,FALSE)</f>
        <v>0</v>
      </c>
      <c r="J125" s="99" t="str">
        <f>IF(E125=m2mFormatLUT!$A$2,CONCATENATE(DEC2HEX(I125,1),DEC2HEX(H125,3)),CONCATENATE(DEC2HEX(240,2),DEC2HEX(I125,1),DEC2HEX(H125,5)))</f>
        <v>007B</v>
      </c>
      <c r="K125" s="99">
        <v>0</v>
      </c>
      <c r="L125" s="99">
        <f>IF(I125=6,(LEN(K125)+1)*8,IF(I125=7,(1 + HEX2DEC(MID(K125,3,FIND(",",K125)-3)))*8,IF(I125=14,(LEN(K125)+1)*16,IF(I125=15,(1 + HEX2DEC(MID(K125,3,FIND(",",K125)-3)))*16,VLOOKUP(G125,m2mFormatLUT!$B$2:$D$17,3,FALSE)))))</f>
        <v>1</v>
      </c>
    </row>
    <row r="126" spans="1:14" x14ac:dyDescent="0.55000000000000004">
      <c r="A126" s="107" t="s">
        <v>563</v>
      </c>
      <c r="B126" s="105" t="s">
        <v>564</v>
      </c>
      <c r="C126" s="100" t="s">
        <v>265</v>
      </c>
      <c r="D126" s="106" t="s">
        <v>103</v>
      </c>
      <c r="E126" s="101" t="s">
        <v>1152</v>
      </c>
      <c r="F126" s="102">
        <v>0</v>
      </c>
      <c r="G126" s="100" t="s">
        <v>1153</v>
      </c>
      <c r="H126" s="99">
        <v>124</v>
      </c>
      <c r="I126" s="99">
        <f>VLOOKUP(G126,m2mFormatLUT!$B$2:$D$17,2,FALSE)</f>
        <v>0</v>
      </c>
      <c r="J126" s="99" t="str">
        <f>IF(E126=m2mFormatLUT!$A$2,CONCATENATE(DEC2HEX(I126,1),DEC2HEX(H126,3)),CONCATENATE(DEC2HEX(240,2),DEC2HEX(I126,1),DEC2HEX(H126,5)))</f>
        <v>007C</v>
      </c>
      <c r="K126" s="99">
        <v>0</v>
      </c>
      <c r="L126" s="99">
        <f>IF(I126=6,(LEN(K126)+1)*8,IF(I126=7,(1 + HEX2DEC(MID(K126,3,FIND(",",K126)-3)))*8,IF(I126=14,(LEN(K126)+1)*16,IF(I126=15,(1 + HEX2DEC(MID(K126,3,FIND(",",K126)-3)))*16,VLOOKUP(G126,m2mFormatLUT!$B$2:$D$17,3,FALSE)))))</f>
        <v>1</v>
      </c>
      <c r="N126" s="99" t="s">
        <v>1156</v>
      </c>
    </row>
    <row r="127" spans="1:14" x14ac:dyDescent="0.55000000000000004">
      <c r="A127" s="99" t="s">
        <v>565</v>
      </c>
      <c r="B127" s="105" t="s">
        <v>566</v>
      </c>
      <c r="C127" s="100" t="s">
        <v>265</v>
      </c>
      <c r="D127" s="106" t="s">
        <v>103</v>
      </c>
      <c r="E127" s="101" t="s">
        <v>1152</v>
      </c>
      <c r="F127" s="102">
        <v>0</v>
      </c>
      <c r="G127" s="100" t="s">
        <v>1153</v>
      </c>
      <c r="H127" s="99">
        <v>125</v>
      </c>
      <c r="I127" s="99">
        <f>VLOOKUP(G127,m2mFormatLUT!$B$2:$D$17,2,FALSE)</f>
        <v>0</v>
      </c>
      <c r="J127" s="99" t="str">
        <f>IF(E127=m2mFormatLUT!$A$2,CONCATENATE(DEC2HEX(I127,1),DEC2HEX(H127,3)),CONCATENATE(DEC2HEX(240,2),DEC2HEX(I127,1),DEC2HEX(H127,5)))</f>
        <v>007D</v>
      </c>
      <c r="K127" s="99">
        <v>0</v>
      </c>
      <c r="L127" s="99">
        <f>IF(I127=6,(LEN(K127)+1)*8,IF(I127=7,(1 + HEX2DEC(MID(K127,3,FIND(",",K127)-3)))*8,IF(I127=14,(LEN(K127)+1)*16,IF(I127=15,(1 + HEX2DEC(MID(K127,3,FIND(",",K127)-3)))*16,VLOOKUP(G127,m2mFormatLUT!$B$2:$D$17,3,FALSE)))))</f>
        <v>1</v>
      </c>
    </row>
    <row r="128" spans="1:14" x14ac:dyDescent="0.55000000000000004">
      <c r="A128" s="99" t="s">
        <v>567</v>
      </c>
      <c r="B128" s="105" t="s">
        <v>568</v>
      </c>
      <c r="C128" s="100" t="s">
        <v>265</v>
      </c>
      <c r="D128" s="106" t="s">
        <v>103</v>
      </c>
      <c r="E128" s="101" t="s">
        <v>1152</v>
      </c>
      <c r="F128" s="102">
        <v>0</v>
      </c>
      <c r="G128" s="100" t="s">
        <v>1153</v>
      </c>
      <c r="H128" s="99">
        <v>126</v>
      </c>
      <c r="I128" s="99">
        <f>VLOOKUP(G128,m2mFormatLUT!$B$2:$D$17,2,FALSE)</f>
        <v>0</v>
      </c>
      <c r="J128" s="99" t="str">
        <f>IF(E128=m2mFormatLUT!$A$2,CONCATENATE(DEC2HEX(I128,1),DEC2HEX(H128,3)),CONCATENATE(DEC2HEX(240,2),DEC2HEX(I128,1),DEC2HEX(H128,5)))</f>
        <v>007E</v>
      </c>
      <c r="K128" s="99">
        <v>0</v>
      </c>
      <c r="L128" s="99">
        <f>IF(I128=6,(LEN(K128)+1)*8,IF(I128=7,(1 + HEX2DEC(MID(K128,3,FIND(",",K128)-3)))*8,IF(I128=14,(LEN(K128)+1)*16,IF(I128=15,(1 + HEX2DEC(MID(K128,3,FIND(",",K128)-3)))*16,VLOOKUP(G128,m2mFormatLUT!$B$2:$D$17,3,FALSE)))))</f>
        <v>1</v>
      </c>
    </row>
    <row r="129" spans="1:14" x14ac:dyDescent="0.55000000000000004">
      <c r="A129" s="99" t="s">
        <v>569</v>
      </c>
      <c r="B129" s="105" t="s">
        <v>570</v>
      </c>
      <c r="C129" s="100" t="s">
        <v>265</v>
      </c>
      <c r="D129" s="106" t="s">
        <v>103</v>
      </c>
      <c r="E129" s="101" t="s">
        <v>1152</v>
      </c>
      <c r="F129" s="102">
        <v>0</v>
      </c>
      <c r="G129" s="100" t="s">
        <v>1153</v>
      </c>
      <c r="H129" s="99">
        <v>127</v>
      </c>
      <c r="I129" s="99">
        <f>VLOOKUP(G129,m2mFormatLUT!$B$2:$D$17,2,FALSE)</f>
        <v>0</v>
      </c>
      <c r="J129" s="99" t="str">
        <f>IF(E129=m2mFormatLUT!$A$2,CONCATENATE(DEC2HEX(I129,1),DEC2HEX(H129,3)),CONCATENATE(DEC2HEX(240,2),DEC2HEX(I129,1),DEC2HEX(H129,5)))</f>
        <v>007F</v>
      </c>
      <c r="K129" s="99">
        <v>0</v>
      </c>
      <c r="L129" s="99">
        <f>IF(I129=6,(LEN(K129)+1)*8,IF(I129=7,(1 + HEX2DEC(MID(K129,3,FIND(",",K129)-3)))*8,IF(I129=14,(LEN(K129)+1)*16,IF(I129=15,(1 + HEX2DEC(MID(K129,3,FIND(",",K129)-3)))*16,VLOOKUP(G129,m2mFormatLUT!$B$2:$D$17,3,FALSE)))))</f>
        <v>1</v>
      </c>
    </row>
    <row r="130" spans="1:14" x14ac:dyDescent="0.55000000000000004">
      <c r="A130" s="107" t="s">
        <v>571</v>
      </c>
      <c r="B130" s="105" t="s">
        <v>572</v>
      </c>
      <c r="C130" s="100" t="s">
        <v>265</v>
      </c>
      <c r="D130" s="106" t="s">
        <v>103</v>
      </c>
      <c r="E130" s="101" t="s">
        <v>1152</v>
      </c>
      <c r="F130" s="102">
        <v>0</v>
      </c>
      <c r="G130" s="100" t="s">
        <v>1153</v>
      </c>
      <c r="H130" s="99">
        <v>128</v>
      </c>
      <c r="I130" s="99">
        <f>VLOOKUP(G130,m2mFormatLUT!$B$2:$D$17,2,FALSE)</f>
        <v>0</v>
      </c>
      <c r="J130" s="99" t="str">
        <f>IF(E130=m2mFormatLUT!$A$2,CONCATENATE(DEC2HEX(I130,1),DEC2HEX(H130,3)),CONCATENATE(DEC2HEX(240,2),DEC2HEX(I130,1),DEC2HEX(H130,5)))</f>
        <v>0080</v>
      </c>
      <c r="K130" s="99">
        <v>0</v>
      </c>
      <c r="L130" s="99">
        <f>IF(I130=6,(LEN(K130)+1)*8,IF(I130=7,(1 + HEX2DEC(MID(K130,3,FIND(",",K130)-3)))*8,IF(I130=14,(LEN(K130)+1)*16,IF(I130=15,(1 + HEX2DEC(MID(K130,3,FIND(",",K130)-3)))*16,VLOOKUP(G130,m2mFormatLUT!$B$2:$D$17,3,FALSE)))))</f>
        <v>1</v>
      </c>
      <c r="N130" s="99" t="s">
        <v>1155</v>
      </c>
    </row>
    <row r="131" spans="1:14" x14ac:dyDescent="0.55000000000000004">
      <c r="A131" s="107" t="s">
        <v>573</v>
      </c>
      <c r="B131" s="105" t="s">
        <v>113</v>
      </c>
      <c r="C131" s="100" t="s">
        <v>265</v>
      </c>
      <c r="D131" s="106" t="s">
        <v>103</v>
      </c>
      <c r="E131" s="101" t="s">
        <v>1152</v>
      </c>
      <c r="F131" s="102">
        <v>0</v>
      </c>
      <c r="G131" s="100" t="s">
        <v>1153</v>
      </c>
      <c r="H131" s="99">
        <v>129</v>
      </c>
      <c r="I131" s="99">
        <f>VLOOKUP(G131,m2mFormatLUT!$B$2:$D$17,2,FALSE)</f>
        <v>0</v>
      </c>
      <c r="J131" s="99" t="str">
        <f>IF(E131=m2mFormatLUT!$A$2,CONCATENATE(DEC2HEX(I131,1),DEC2HEX(H131,3)),CONCATENATE(DEC2HEX(240,2),DEC2HEX(I131,1),DEC2HEX(H131,5)))</f>
        <v>0081</v>
      </c>
      <c r="K131" s="99">
        <v>0</v>
      </c>
      <c r="L131" s="99">
        <f>IF(I131=6,(LEN(K131)+1)*8,IF(I131=7,(1 + HEX2DEC(MID(K131,3,FIND(",",K131)-3)))*8,IF(I131=14,(LEN(K131)+1)*16,IF(I131=15,(1 + HEX2DEC(MID(K131,3,FIND(",",K131)-3)))*16,VLOOKUP(G131,m2mFormatLUT!$B$2:$D$17,3,FALSE)))))</f>
        <v>1</v>
      </c>
    </row>
    <row r="132" spans="1:14" x14ac:dyDescent="0.55000000000000004">
      <c r="A132" s="104" t="s">
        <v>574</v>
      </c>
      <c r="B132" s="105" t="s">
        <v>114</v>
      </c>
      <c r="C132" s="100" t="s">
        <v>265</v>
      </c>
      <c r="D132" s="106" t="s">
        <v>103</v>
      </c>
      <c r="E132" s="101" t="s">
        <v>1152</v>
      </c>
      <c r="F132" s="102">
        <v>0</v>
      </c>
      <c r="G132" s="100" t="s">
        <v>1153</v>
      </c>
      <c r="H132" s="99">
        <v>130</v>
      </c>
      <c r="I132" s="99">
        <f>VLOOKUP(G132,m2mFormatLUT!$B$2:$D$17,2,FALSE)</f>
        <v>0</v>
      </c>
      <c r="J132" s="99" t="str">
        <f>IF(E132=m2mFormatLUT!$A$2,CONCATENATE(DEC2HEX(I132,1),DEC2HEX(H132,3)),CONCATENATE(DEC2HEX(240,2),DEC2HEX(I132,1),DEC2HEX(H132,5)))</f>
        <v>0082</v>
      </c>
      <c r="K132" s="99">
        <v>0</v>
      </c>
      <c r="L132" s="99">
        <f>IF(I132=6,(LEN(K132)+1)*8,IF(I132=7,(1 + HEX2DEC(MID(K132,3,FIND(",",K132)-3)))*8,IF(I132=14,(LEN(K132)+1)*16,IF(I132=15,(1 + HEX2DEC(MID(K132,3,FIND(",",K132)-3)))*16,VLOOKUP(G132,m2mFormatLUT!$B$2:$D$17,3,FALSE)))))</f>
        <v>1</v>
      </c>
      <c r="N132" s="99" t="s">
        <v>1155</v>
      </c>
    </row>
    <row r="133" spans="1:14" x14ac:dyDescent="0.55000000000000004">
      <c r="A133" s="104" t="s">
        <v>575</v>
      </c>
      <c r="B133" s="105" t="s">
        <v>576</v>
      </c>
      <c r="C133" s="100" t="s">
        <v>265</v>
      </c>
      <c r="D133" s="106" t="s">
        <v>103</v>
      </c>
      <c r="E133" s="101" t="s">
        <v>1152</v>
      </c>
      <c r="F133" s="102">
        <v>0</v>
      </c>
      <c r="G133" s="100" t="s">
        <v>1153</v>
      </c>
      <c r="H133" s="99">
        <v>131</v>
      </c>
      <c r="I133" s="99">
        <f>VLOOKUP(G133,m2mFormatLUT!$B$2:$D$17,2,FALSE)</f>
        <v>0</v>
      </c>
      <c r="J133" s="99" t="str">
        <f>IF(E133=m2mFormatLUT!$A$2,CONCATENATE(DEC2HEX(I133,1),DEC2HEX(H133,3)),CONCATENATE(DEC2HEX(240,2),DEC2HEX(I133,1),DEC2HEX(H133,5)))</f>
        <v>0083</v>
      </c>
      <c r="K133" s="99">
        <v>0</v>
      </c>
      <c r="L133" s="99">
        <f>IF(I133=6,(LEN(K133)+1)*8,IF(I133=7,(1 + HEX2DEC(MID(K133,3,FIND(",",K133)-3)))*8,IF(I133=14,(LEN(K133)+1)*16,IF(I133=15,(1 + HEX2DEC(MID(K133,3,FIND(",",K133)-3)))*16,VLOOKUP(G133,m2mFormatLUT!$B$2:$D$17,3,FALSE)))))</f>
        <v>1</v>
      </c>
    </row>
    <row r="134" spans="1:14" x14ac:dyDescent="0.55000000000000004">
      <c r="A134" s="99" t="s">
        <v>578</v>
      </c>
      <c r="B134" s="105" t="s">
        <v>115</v>
      </c>
      <c r="C134" s="100" t="s">
        <v>265</v>
      </c>
      <c r="D134" s="106" t="s">
        <v>116</v>
      </c>
      <c r="E134" s="101" t="s">
        <v>1152</v>
      </c>
      <c r="F134" s="102">
        <v>0</v>
      </c>
      <c r="G134" s="100" t="s">
        <v>1153</v>
      </c>
      <c r="H134" s="99">
        <v>132</v>
      </c>
      <c r="I134" s="99">
        <f>VLOOKUP(G134,m2mFormatLUT!$B$2:$D$17,2,FALSE)</f>
        <v>0</v>
      </c>
      <c r="J134" s="99" t="str">
        <f>IF(E134=m2mFormatLUT!$A$2,CONCATENATE(DEC2HEX(I134,1),DEC2HEX(H134,3)),CONCATENATE(DEC2HEX(240,2),DEC2HEX(I134,1),DEC2HEX(H134,5)))</f>
        <v>0084</v>
      </c>
      <c r="K134" s="99">
        <v>0</v>
      </c>
      <c r="L134" s="99">
        <f>IF(I134=6,(LEN(K134)+1)*8,IF(I134=7,(1 + HEX2DEC(MID(K134,3,FIND(",",K134)-3)))*8,IF(I134=14,(LEN(K134)+1)*16,IF(I134=15,(1 + HEX2DEC(MID(K134,3,FIND(",",K134)-3)))*16,VLOOKUP(G134,m2mFormatLUT!$B$2:$D$17,3,FALSE)))))</f>
        <v>1</v>
      </c>
    </row>
    <row r="135" spans="1:14" x14ac:dyDescent="0.55000000000000004">
      <c r="A135" s="99" t="s">
        <v>579</v>
      </c>
      <c r="B135" s="105" t="s">
        <v>580</v>
      </c>
      <c r="C135" s="100" t="s">
        <v>265</v>
      </c>
      <c r="D135" s="106" t="s">
        <v>116</v>
      </c>
      <c r="E135" s="101" t="s">
        <v>1152</v>
      </c>
      <c r="F135" s="102">
        <v>0</v>
      </c>
      <c r="G135" s="100" t="s">
        <v>1153</v>
      </c>
      <c r="H135" s="99">
        <v>133</v>
      </c>
      <c r="I135" s="99">
        <f>VLOOKUP(G135,m2mFormatLUT!$B$2:$D$17,2,FALSE)</f>
        <v>0</v>
      </c>
      <c r="J135" s="99" t="str">
        <f>IF(E135=m2mFormatLUT!$A$2,CONCATENATE(DEC2HEX(I135,1),DEC2HEX(H135,3)),CONCATENATE(DEC2HEX(240,2),DEC2HEX(I135,1),DEC2HEX(H135,5)))</f>
        <v>0085</v>
      </c>
      <c r="K135" s="99">
        <v>0</v>
      </c>
      <c r="L135" s="99">
        <f>IF(I135=6,(LEN(K135)+1)*8,IF(I135=7,(1 + HEX2DEC(MID(K135,3,FIND(",",K135)-3)))*8,IF(I135=14,(LEN(K135)+1)*16,IF(I135=15,(1 + HEX2DEC(MID(K135,3,FIND(",",K135)-3)))*16,VLOOKUP(G135,m2mFormatLUT!$B$2:$D$17,3,FALSE)))))</f>
        <v>1</v>
      </c>
    </row>
    <row r="136" spans="1:14" x14ac:dyDescent="0.55000000000000004">
      <c r="A136" s="99" t="s">
        <v>581</v>
      </c>
      <c r="B136" s="105" t="s">
        <v>117</v>
      </c>
      <c r="C136" s="100" t="s">
        <v>265</v>
      </c>
      <c r="D136" s="106" t="s">
        <v>116</v>
      </c>
      <c r="E136" s="101" t="s">
        <v>1152</v>
      </c>
      <c r="F136" s="102">
        <v>0</v>
      </c>
      <c r="G136" s="100" t="s">
        <v>1153</v>
      </c>
      <c r="H136" s="99">
        <v>134</v>
      </c>
      <c r="I136" s="99">
        <f>VLOOKUP(G136,m2mFormatLUT!$B$2:$D$17,2,FALSE)</f>
        <v>0</v>
      </c>
      <c r="J136" s="99" t="str">
        <f>IF(E136=m2mFormatLUT!$A$2,CONCATENATE(DEC2HEX(I136,1),DEC2HEX(H136,3)),CONCATENATE(DEC2HEX(240,2),DEC2HEX(I136,1),DEC2HEX(H136,5)))</f>
        <v>0086</v>
      </c>
      <c r="K136" s="99">
        <v>0</v>
      </c>
      <c r="L136" s="99">
        <f>IF(I136=6,(LEN(K136)+1)*8,IF(I136=7,(1 + HEX2DEC(MID(K136,3,FIND(",",K136)-3)))*8,IF(I136=14,(LEN(K136)+1)*16,IF(I136=15,(1 + HEX2DEC(MID(K136,3,FIND(",",K136)-3)))*16,VLOOKUP(G136,m2mFormatLUT!$B$2:$D$17,3,FALSE)))))</f>
        <v>1</v>
      </c>
    </row>
    <row r="137" spans="1:14" x14ac:dyDescent="0.55000000000000004">
      <c r="A137" s="99" t="s">
        <v>582</v>
      </c>
      <c r="B137" s="105" t="s">
        <v>118</v>
      </c>
      <c r="C137" s="100" t="s">
        <v>265</v>
      </c>
      <c r="D137" s="106" t="s">
        <v>116</v>
      </c>
      <c r="E137" s="101" t="s">
        <v>1152</v>
      </c>
      <c r="F137" s="102">
        <v>0</v>
      </c>
      <c r="G137" s="100" t="s">
        <v>1153</v>
      </c>
      <c r="H137" s="99">
        <v>135</v>
      </c>
      <c r="I137" s="99">
        <f>VLOOKUP(G137,m2mFormatLUT!$B$2:$D$17,2,FALSE)</f>
        <v>0</v>
      </c>
      <c r="J137" s="99" t="str">
        <f>IF(E137=m2mFormatLUT!$A$2,CONCATENATE(DEC2HEX(I137,1),DEC2HEX(H137,3)),CONCATENATE(DEC2HEX(240,2),DEC2HEX(I137,1),DEC2HEX(H137,5)))</f>
        <v>0087</v>
      </c>
      <c r="K137" s="99">
        <v>0</v>
      </c>
      <c r="L137" s="99">
        <f>IF(I137=6,(LEN(K137)+1)*8,IF(I137=7,(1 + HEX2DEC(MID(K137,3,FIND(",",K137)-3)))*8,IF(I137=14,(LEN(K137)+1)*16,IF(I137=15,(1 + HEX2DEC(MID(K137,3,FIND(",",K137)-3)))*16,VLOOKUP(G137,m2mFormatLUT!$B$2:$D$17,3,FALSE)))))</f>
        <v>1</v>
      </c>
    </row>
    <row r="138" spans="1:14" x14ac:dyDescent="0.55000000000000004">
      <c r="A138" s="99" t="s">
        <v>583</v>
      </c>
      <c r="B138" s="105" t="s">
        <v>119</v>
      </c>
      <c r="C138" s="100" t="s">
        <v>265</v>
      </c>
      <c r="D138" s="106" t="s">
        <v>116</v>
      </c>
      <c r="E138" s="101" t="s">
        <v>1152</v>
      </c>
      <c r="F138" s="102">
        <v>0</v>
      </c>
      <c r="G138" s="100" t="s">
        <v>1153</v>
      </c>
      <c r="H138" s="99">
        <v>136</v>
      </c>
      <c r="I138" s="99">
        <f>VLOOKUP(G138,m2mFormatLUT!$B$2:$D$17,2,FALSE)</f>
        <v>0</v>
      </c>
      <c r="J138" s="99" t="str">
        <f>IF(E138=m2mFormatLUT!$A$2,CONCATENATE(DEC2HEX(I138,1),DEC2HEX(H138,3)),CONCATENATE(DEC2HEX(240,2),DEC2HEX(I138,1),DEC2HEX(H138,5)))</f>
        <v>0088</v>
      </c>
      <c r="K138" s="99">
        <v>0</v>
      </c>
      <c r="L138" s="99">
        <f>IF(I138=6,(LEN(K138)+1)*8,IF(I138=7,(1 + HEX2DEC(MID(K138,3,FIND(",",K138)-3)))*8,IF(I138=14,(LEN(K138)+1)*16,IF(I138=15,(1 + HEX2DEC(MID(K138,3,FIND(",",K138)-3)))*16,VLOOKUP(G138,m2mFormatLUT!$B$2:$D$17,3,FALSE)))))</f>
        <v>1</v>
      </c>
    </row>
    <row r="139" spans="1:14" x14ac:dyDescent="0.55000000000000004">
      <c r="A139" s="107" t="s">
        <v>584</v>
      </c>
      <c r="B139" s="105" t="s">
        <v>120</v>
      </c>
      <c r="C139" s="100" t="s">
        <v>265</v>
      </c>
      <c r="D139" s="106" t="s">
        <v>116</v>
      </c>
      <c r="E139" s="101" t="s">
        <v>1152</v>
      </c>
      <c r="F139" s="102">
        <v>0</v>
      </c>
      <c r="G139" s="100" t="s">
        <v>1153</v>
      </c>
      <c r="H139" s="99">
        <v>137</v>
      </c>
      <c r="I139" s="99">
        <f>VLOOKUP(G139,m2mFormatLUT!$B$2:$D$17,2,FALSE)</f>
        <v>0</v>
      </c>
      <c r="J139" s="99" t="str">
        <f>IF(E139=m2mFormatLUT!$A$2,CONCATENATE(DEC2HEX(I139,1),DEC2HEX(H139,3)),CONCATENATE(DEC2HEX(240,2),DEC2HEX(I139,1),DEC2HEX(H139,5)))</f>
        <v>0089</v>
      </c>
      <c r="K139" s="99">
        <v>0</v>
      </c>
      <c r="L139" s="99">
        <f>IF(I139=6,(LEN(K139)+1)*8,IF(I139=7,(1 + HEX2DEC(MID(K139,3,FIND(",",K139)-3)))*8,IF(I139=14,(LEN(K139)+1)*16,IF(I139=15,(1 + HEX2DEC(MID(K139,3,FIND(",",K139)-3)))*16,VLOOKUP(G139,m2mFormatLUT!$B$2:$D$17,3,FALSE)))))</f>
        <v>1</v>
      </c>
      <c r="N139" s="99" t="s">
        <v>1155</v>
      </c>
    </row>
    <row r="140" spans="1:14" x14ac:dyDescent="0.55000000000000004">
      <c r="A140" s="107" t="s">
        <v>585</v>
      </c>
      <c r="B140" s="105" t="s">
        <v>586</v>
      </c>
      <c r="C140" s="100" t="s">
        <v>265</v>
      </c>
      <c r="D140" s="106" t="s">
        <v>116</v>
      </c>
      <c r="E140" s="101" t="s">
        <v>1152</v>
      </c>
      <c r="F140" s="102">
        <v>0</v>
      </c>
      <c r="G140" s="100" t="s">
        <v>1153</v>
      </c>
      <c r="H140" s="99">
        <v>138</v>
      </c>
      <c r="I140" s="99">
        <f>VLOOKUP(G140,m2mFormatLUT!$B$2:$D$17,2,FALSE)</f>
        <v>0</v>
      </c>
      <c r="J140" s="99" t="str">
        <f>IF(E140=m2mFormatLUT!$A$2,CONCATENATE(DEC2HEX(I140,1),DEC2HEX(H140,3)),CONCATENATE(DEC2HEX(240,2),DEC2HEX(I140,1),DEC2HEX(H140,5)))</f>
        <v>008A</v>
      </c>
      <c r="K140" s="99">
        <v>0</v>
      </c>
      <c r="L140" s="99">
        <f>IF(I140=6,(LEN(K140)+1)*8,IF(I140=7,(1 + HEX2DEC(MID(K140,3,FIND(",",K140)-3)))*8,IF(I140=14,(LEN(K140)+1)*16,IF(I140=15,(1 + HEX2DEC(MID(K140,3,FIND(",",K140)-3)))*16,VLOOKUP(G140,m2mFormatLUT!$B$2:$D$17,3,FALSE)))))</f>
        <v>1</v>
      </c>
    </row>
    <row r="141" spans="1:14" x14ac:dyDescent="0.55000000000000004">
      <c r="A141" s="104" t="s">
        <v>587</v>
      </c>
      <c r="B141" s="105" t="s">
        <v>588</v>
      </c>
      <c r="C141" s="100" t="s">
        <v>265</v>
      </c>
      <c r="D141" s="106" t="s">
        <v>116</v>
      </c>
      <c r="E141" s="101" t="s">
        <v>1152</v>
      </c>
      <c r="F141" s="102">
        <v>0</v>
      </c>
      <c r="G141" s="100" t="s">
        <v>1153</v>
      </c>
      <c r="H141" s="99">
        <v>139</v>
      </c>
      <c r="I141" s="99">
        <f>VLOOKUP(G141,m2mFormatLUT!$B$2:$D$17,2,FALSE)</f>
        <v>0</v>
      </c>
      <c r="J141" s="99" t="str">
        <f>IF(E141=m2mFormatLUT!$A$2,CONCATENATE(DEC2HEX(I141,1),DEC2HEX(H141,3)),CONCATENATE(DEC2HEX(240,2),DEC2HEX(I141,1),DEC2HEX(H141,5)))</f>
        <v>008B</v>
      </c>
      <c r="K141" s="99">
        <v>0</v>
      </c>
      <c r="L141" s="99">
        <f>IF(I141=6,(LEN(K141)+1)*8,IF(I141=7,(1 + HEX2DEC(MID(K141,3,FIND(",",K141)-3)))*8,IF(I141=14,(LEN(K141)+1)*16,IF(I141=15,(1 + HEX2DEC(MID(K141,3,FIND(",",K141)-3)))*16,VLOOKUP(G141,m2mFormatLUT!$B$2:$D$17,3,FALSE)))))</f>
        <v>1</v>
      </c>
      <c r="N141" s="99" t="s">
        <v>1155</v>
      </c>
    </row>
    <row r="142" spans="1:14" x14ac:dyDescent="0.55000000000000004">
      <c r="A142" s="104" t="s">
        <v>589</v>
      </c>
      <c r="B142" s="105" t="s">
        <v>121</v>
      </c>
      <c r="C142" s="100" t="s">
        <v>265</v>
      </c>
      <c r="D142" s="106" t="s">
        <v>116</v>
      </c>
      <c r="E142" s="101" t="s">
        <v>1152</v>
      </c>
      <c r="F142" s="102">
        <v>0</v>
      </c>
      <c r="G142" s="100" t="s">
        <v>1153</v>
      </c>
      <c r="H142" s="99">
        <v>140</v>
      </c>
      <c r="I142" s="99">
        <f>VLOOKUP(G142,m2mFormatLUT!$B$2:$D$17,2,FALSE)</f>
        <v>0</v>
      </c>
      <c r="J142" s="99" t="str">
        <f>IF(E142=m2mFormatLUT!$A$2,CONCATENATE(DEC2HEX(I142,1),DEC2HEX(H142,3)),CONCATENATE(DEC2HEX(240,2),DEC2HEX(I142,1),DEC2HEX(H142,5)))</f>
        <v>008C</v>
      </c>
      <c r="K142" s="99">
        <v>0</v>
      </c>
      <c r="L142" s="99">
        <f>IF(I142=6,(LEN(K142)+1)*8,IF(I142=7,(1 + HEX2DEC(MID(K142,3,FIND(",",K142)-3)))*8,IF(I142=14,(LEN(K142)+1)*16,IF(I142=15,(1 + HEX2DEC(MID(K142,3,FIND(",",K142)-3)))*16,VLOOKUP(G142,m2mFormatLUT!$B$2:$D$17,3,FALSE)))))</f>
        <v>1</v>
      </c>
    </row>
    <row r="143" spans="1:14" x14ac:dyDescent="0.55000000000000004">
      <c r="A143" s="107" t="s">
        <v>590</v>
      </c>
      <c r="B143" s="105" t="s">
        <v>591</v>
      </c>
      <c r="C143" s="100" t="s">
        <v>265</v>
      </c>
      <c r="D143" s="106" t="s">
        <v>116</v>
      </c>
      <c r="E143" s="101" t="s">
        <v>1152</v>
      </c>
      <c r="F143" s="102">
        <v>0</v>
      </c>
      <c r="G143" s="100" t="s">
        <v>1153</v>
      </c>
      <c r="H143" s="99">
        <v>141</v>
      </c>
      <c r="I143" s="99">
        <f>VLOOKUP(G143,m2mFormatLUT!$B$2:$D$17,2,FALSE)</f>
        <v>0</v>
      </c>
      <c r="J143" s="99" t="str">
        <f>IF(E143=m2mFormatLUT!$A$2,CONCATENATE(DEC2HEX(I143,1),DEC2HEX(H143,3)),CONCATENATE(DEC2HEX(240,2),DEC2HEX(I143,1),DEC2HEX(H143,5)))</f>
        <v>008D</v>
      </c>
      <c r="K143" s="99">
        <v>0</v>
      </c>
      <c r="L143" s="99">
        <f>IF(I143=6,(LEN(K143)+1)*8,IF(I143=7,(1 + HEX2DEC(MID(K143,3,FIND(",",K143)-3)))*8,IF(I143=14,(LEN(K143)+1)*16,IF(I143=15,(1 + HEX2DEC(MID(K143,3,FIND(",",K143)-3)))*16,VLOOKUP(G143,m2mFormatLUT!$B$2:$D$17,3,FALSE)))))</f>
        <v>1</v>
      </c>
      <c r="N143" s="99" t="s">
        <v>1155</v>
      </c>
    </row>
    <row r="144" spans="1:14" x14ac:dyDescent="0.55000000000000004">
      <c r="A144" s="107" t="s">
        <v>592</v>
      </c>
      <c r="B144" s="105" t="s">
        <v>122</v>
      </c>
      <c r="C144" s="100" t="s">
        <v>265</v>
      </c>
      <c r="D144" s="106" t="s">
        <v>116</v>
      </c>
      <c r="E144" s="101" t="s">
        <v>1152</v>
      </c>
      <c r="F144" s="102">
        <v>0</v>
      </c>
      <c r="G144" s="100" t="s">
        <v>1153</v>
      </c>
      <c r="H144" s="99">
        <v>142</v>
      </c>
      <c r="I144" s="99">
        <f>VLOOKUP(G144,m2mFormatLUT!$B$2:$D$17,2,FALSE)</f>
        <v>0</v>
      </c>
      <c r="J144" s="99" t="str">
        <f>IF(E144=m2mFormatLUT!$A$2,CONCATENATE(DEC2HEX(I144,1),DEC2HEX(H144,3)),CONCATENATE(DEC2HEX(240,2),DEC2HEX(I144,1),DEC2HEX(H144,5)))</f>
        <v>008E</v>
      </c>
      <c r="K144" s="99">
        <v>0</v>
      </c>
      <c r="L144" s="99">
        <f>IF(I144=6,(LEN(K144)+1)*8,IF(I144=7,(1 + HEX2DEC(MID(K144,3,FIND(",",K144)-3)))*8,IF(I144=14,(LEN(K144)+1)*16,IF(I144=15,(1 + HEX2DEC(MID(K144,3,FIND(",",K144)-3)))*16,VLOOKUP(G144,m2mFormatLUT!$B$2:$D$17,3,FALSE)))))</f>
        <v>1</v>
      </c>
    </row>
    <row r="145" spans="1:14" x14ac:dyDescent="0.55000000000000004">
      <c r="A145" s="104" t="s">
        <v>593</v>
      </c>
      <c r="B145" s="105" t="s">
        <v>123</v>
      </c>
      <c r="C145" s="100" t="s">
        <v>265</v>
      </c>
      <c r="D145" s="106" t="s">
        <v>116</v>
      </c>
      <c r="E145" s="101" t="s">
        <v>1152</v>
      </c>
      <c r="F145" s="102">
        <v>0</v>
      </c>
      <c r="G145" s="100" t="s">
        <v>1153</v>
      </c>
      <c r="H145" s="99">
        <v>143</v>
      </c>
      <c r="I145" s="99">
        <f>VLOOKUP(G145,m2mFormatLUT!$B$2:$D$17,2,FALSE)</f>
        <v>0</v>
      </c>
      <c r="J145" s="99" t="str">
        <f>IF(E145=m2mFormatLUT!$A$2,CONCATENATE(DEC2HEX(I145,1),DEC2HEX(H145,3)),CONCATENATE(DEC2HEX(240,2),DEC2HEX(I145,1),DEC2HEX(H145,5)))</f>
        <v>008F</v>
      </c>
      <c r="K145" s="99">
        <v>0</v>
      </c>
      <c r="L145" s="99">
        <f>IF(I145=6,(LEN(K145)+1)*8,IF(I145=7,(1 + HEX2DEC(MID(K145,3,FIND(",",K145)-3)))*8,IF(I145=14,(LEN(K145)+1)*16,IF(I145=15,(1 + HEX2DEC(MID(K145,3,FIND(",",K145)-3)))*16,VLOOKUP(G145,m2mFormatLUT!$B$2:$D$17,3,FALSE)))))</f>
        <v>1</v>
      </c>
      <c r="N145" s="99" t="s">
        <v>1155</v>
      </c>
    </row>
    <row r="146" spans="1:14" x14ac:dyDescent="0.55000000000000004">
      <c r="A146" s="104" t="s">
        <v>594</v>
      </c>
      <c r="B146" s="105" t="s">
        <v>595</v>
      </c>
      <c r="C146" s="100" t="s">
        <v>265</v>
      </c>
      <c r="D146" s="106" t="s">
        <v>116</v>
      </c>
      <c r="E146" s="101" t="s">
        <v>1152</v>
      </c>
      <c r="F146" s="102">
        <v>0</v>
      </c>
      <c r="G146" s="100" t="s">
        <v>1153</v>
      </c>
      <c r="H146" s="99">
        <v>144</v>
      </c>
      <c r="I146" s="99">
        <f>VLOOKUP(G146,m2mFormatLUT!$B$2:$D$17,2,FALSE)</f>
        <v>0</v>
      </c>
      <c r="J146" s="99" t="str">
        <f>IF(E146=m2mFormatLUT!$A$2,CONCATENATE(DEC2HEX(I146,1),DEC2HEX(H146,3)),CONCATENATE(DEC2HEX(240,2),DEC2HEX(I146,1),DEC2HEX(H146,5)))</f>
        <v>0090</v>
      </c>
      <c r="K146" s="99">
        <v>0</v>
      </c>
      <c r="L146" s="99">
        <f>IF(I146=6,(LEN(K146)+1)*8,IF(I146=7,(1 + HEX2DEC(MID(K146,3,FIND(",",K146)-3)))*8,IF(I146=14,(LEN(K146)+1)*16,IF(I146=15,(1 + HEX2DEC(MID(K146,3,FIND(",",K146)-3)))*16,VLOOKUP(G146,m2mFormatLUT!$B$2:$D$17,3,FALSE)))))</f>
        <v>1</v>
      </c>
    </row>
    <row r="147" spans="1:14" x14ac:dyDescent="0.55000000000000004">
      <c r="A147" s="99" t="s">
        <v>596</v>
      </c>
      <c r="B147" s="105" t="s">
        <v>597</v>
      </c>
      <c r="C147" s="100" t="s">
        <v>265</v>
      </c>
      <c r="D147" s="106" t="s">
        <v>116</v>
      </c>
      <c r="E147" s="101" t="s">
        <v>1152</v>
      </c>
      <c r="F147" s="102">
        <v>0</v>
      </c>
      <c r="G147" s="100" t="s">
        <v>1153</v>
      </c>
      <c r="H147" s="99">
        <v>145</v>
      </c>
      <c r="I147" s="99">
        <f>VLOOKUP(G147,m2mFormatLUT!$B$2:$D$17,2,FALSE)</f>
        <v>0</v>
      </c>
      <c r="J147" s="99" t="str">
        <f>IF(E147=m2mFormatLUT!$A$2,CONCATENATE(DEC2HEX(I147,1),DEC2HEX(H147,3)),CONCATENATE(DEC2HEX(240,2),DEC2HEX(I147,1),DEC2HEX(H147,5)))</f>
        <v>0091</v>
      </c>
      <c r="K147" s="99">
        <v>0</v>
      </c>
      <c r="L147" s="99">
        <f>IF(I147=6,(LEN(K147)+1)*8,IF(I147=7,(1 + HEX2DEC(MID(K147,3,FIND(",",K147)-3)))*8,IF(I147=14,(LEN(K147)+1)*16,IF(I147=15,(1 + HEX2DEC(MID(K147,3,FIND(",",K147)-3)))*16,VLOOKUP(G147,m2mFormatLUT!$B$2:$D$17,3,FALSE)))))</f>
        <v>1</v>
      </c>
    </row>
    <row r="148" spans="1:14" x14ac:dyDescent="0.55000000000000004">
      <c r="A148" s="99" t="s">
        <v>598</v>
      </c>
      <c r="B148" s="105" t="s">
        <v>599</v>
      </c>
      <c r="C148" s="100" t="s">
        <v>265</v>
      </c>
      <c r="D148" s="106" t="s">
        <v>116</v>
      </c>
      <c r="E148" s="101" t="s">
        <v>1152</v>
      </c>
      <c r="F148" s="102">
        <v>0</v>
      </c>
      <c r="G148" s="100" t="s">
        <v>1153</v>
      </c>
      <c r="H148" s="99">
        <v>146</v>
      </c>
      <c r="I148" s="99">
        <f>VLOOKUP(G148,m2mFormatLUT!$B$2:$D$17,2,FALSE)</f>
        <v>0</v>
      </c>
      <c r="J148" s="99" t="str">
        <f>IF(E148=m2mFormatLUT!$A$2,CONCATENATE(DEC2HEX(I148,1),DEC2HEX(H148,3)),CONCATENATE(DEC2HEX(240,2),DEC2HEX(I148,1),DEC2HEX(H148,5)))</f>
        <v>0092</v>
      </c>
      <c r="K148" s="99">
        <v>0</v>
      </c>
      <c r="L148" s="99">
        <f>IF(I148=6,(LEN(K148)+1)*8,IF(I148=7,(1 + HEX2DEC(MID(K148,3,FIND(",",K148)-3)))*8,IF(I148=14,(LEN(K148)+1)*16,IF(I148=15,(1 + HEX2DEC(MID(K148,3,FIND(",",K148)-3)))*16,VLOOKUP(G148,m2mFormatLUT!$B$2:$D$17,3,FALSE)))))</f>
        <v>1</v>
      </c>
    </row>
    <row r="149" spans="1:14" x14ac:dyDescent="0.55000000000000004">
      <c r="A149" s="99" t="s">
        <v>600</v>
      </c>
      <c r="B149" s="105" t="s">
        <v>601</v>
      </c>
      <c r="C149" s="100" t="s">
        <v>265</v>
      </c>
      <c r="D149" s="106" t="s">
        <v>116</v>
      </c>
      <c r="E149" s="101" t="s">
        <v>1152</v>
      </c>
      <c r="F149" s="102">
        <v>0</v>
      </c>
      <c r="G149" s="100" t="s">
        <v>1153</v>
      </c>
      <c r="H149" s="99">
        <v>147</v>
      </c>
      <c r="I149" s="99">
        <f>VLOOKUP(G149,m2mFormatLUT!$B$2:$D$17,2,FALSE)</f>
        <v>0</v>
      </c>
      <c r="J149" s="99" t="str">
        <f>IF(E149=m2mFormatLUT!$A$2,CONCATENATE(DEC2HEX(I149,1),DEC2HEX(H149,3)),CONCATENATE(DEC2HEX(240,2),DEC2HEX(I149,1),DEC2HEX(H149,5)))</f>
        <v>0093</v>
      </c>
      <c r="K149" s="99">
        <v>0</v>
      </c>
      <c r="L149" s="99">
        <f>IF(I149=6,(LEN(K149)+1)*8,IF(I149=7,(1 + HEX2DEC(MID(K149,3,FIND(",",K149)-3)))*8,IF(I149=14,(LEN(K149)+1)*16,IF(I149=15,(1 + HEX2DEC(MID(K149,3,FIND(",",K149)-3)))*16,VLOOKUP(G149,m2mFormatLUT!$B$2:$D$17,3,FALSE)))))</f>
        <v>1</v>
      </c>
    </row>
    <row r="150" spans="1:14" x14ac:dyDescent="0.55000000000000004">
      <c r="A150" s="99" t="s">
        <v>602</v>
      </c>
      <c r="B150" s="105" t="s">
        <v>603</v>
      </c>
      <c r="C150" s="100" t="s">
        <v>265</v>
      </c>
      <c r="D150" s="106" t="s">
        <v>116</v>
      </c>
      <c r="E150" s="101" t="s">
        <v>1152</v>
      </c>
      <c r="F150" s="102">
        <v>0</v>
      </c>
      <c r="G150" s="100" t="s">
        <v>1153</v>
      </c>
      <c r="H150" s="99">
        <v>148</v>
      </c>
      <c r="I150" s="99">
        <f>VLOOKUP(G150,m2mFormatLUT!$B$2:$D$17,2,FALSE)</f>
        <v>0</v>
      </c>
      <c r="J150" s="99" t="str">
        <f>IF(E150=m2mFormatLUT!$A$2,CONCATENATE(DEC2HEX(I150,1),DEC2HEX(H150,3)),CONCATENATE(DEC2HEX(240,2),DEC2HEX(I150,1),DEC2HEX(H150,5)))</f>
        <v>0094</v>
      </c>
      <c r="K150" s="99">
        <v>0</v>
      </c>
      <c r="L150" s="99">
        <f>IF(I150=6,(LEN(K150)+1)*8,IF(I150=7,(1 + HEX2DEC(MID(K150,3,FIND(",",K150)-3)))*8,IF(I150=14,(LEN(K150)+1)*16,IF(I150=15,(1 + HEX2DEC(MID(K150,3,FIND(",",K150)-3)))*16,VLOOKUP(G150,m2mFormatLUT!$B$2:$D$17,3,FALSE)))))</f>
        <v>1</v>
      </c>
    </row>
    <row r="151" spans="1:14" x14ac:dyDescent="0.55000000000000004">
      <c r="A151" s="99" t="s">
        <v>604</v>
      </c>
      <c r="B151" s="105" t="s">
        <v>605</v>
      </c>
      <c r="C151" s="100" t="s">
        <v>265</v>
      </c>
      <c r="D151" s="106" t="s">
        <v>116</v>
      </c>
      <c r="E151" s="101" t="s">
        <v>1152</v>
      </c>
      <c r="F151" s="102">
        <v>0</v>
      </c>
      <c r="G151" s="100" t="s">
        <v>1153</v>
      </c>
      <c r="H151" s="99">
        <v>149</v>
      </c>
      <c r="I151" s="99">
        <f>VLOOKUP(G151,m2mFormatLUT!$B$2:$D$17,2,FALSE)</f>
        <v>0</v>
      </c>
      <c r="J151" s="99" t="str">
        <f>IF(E151=m2mFormatLUT!$A$2,CONCATENATE(DEC2HEX(I151,1),DEC2HEX(H151,3)),CONCATENATE(DEC2HEX(240,2),DEC2HEX(I151,1),DEC2HEX(H151,5)))</f>
        <v>0095</v>
      </c>
      <c r="K151" s="99">
        <v>0</v>
      </c>
      <c r="L151" s="99">
        <f>IF(I151=6,(LEN(K151)+1)*8,IF(I151=7,(1 + HEX2DEC(MID(K151,3,FIND(",",K151)-3)))*8,IF(I151=14,(LEN(K151)+1)*16,IF(I151=15,(1 + HEX2DEC(MID(K151,3,FIND(",",K151)-3)))*16,VLOOKUP(G151,m2mFormatLUT!$B$2:$D$17,3,FALSE)))))</f>
        <v>1</v>
      </c>
    </row>
    <row r="152" spans="1:14" x14ac:dyDescent="0.55000000000000004">
      <c r="A152" s="99" t="s">
        <v>606</v>
      </c>
      <c r="B152" s="105" t="s">
        <v>607</v>
      </c>
      <c r="C152" s="100" t="s">
        <v>265</v>
      </c>
      <c r="D152" s="106" t="s">
        <v>116</v>
      </c>
      <c r="E152" s="101" t="s">
        <v>1152</v>
      </c>
      <c r="F152" s="102">
        <v>0</v>
      </c>
      <c r="G152" s="100" t="s">
        <v>1153</v>
      </c>
      <c r="H152" s="99">
        <v>150</v>
      </c>
      <c r="I152" s="99">
        <f>VLOOKUP(G152,m2mFormatLUT!$B$2:$D$17,2,FALSE)</f>
        <v>0</v>
      </c>
      <c r="J152" s="99" t="str">
        <f>IF(E152=m2mFormatLUT!$A$2,CONCATENATE(DEC2HEX(I152,1),DEC2HEX(H152,3)),CONCATENATE(DEC2HEX(240,2),DEC2HEX(I152,1),DEC2HEX(H152,5)))</f>
        <v>0096</v>
      </c>
      <c r="K152" s="99">
        <v>0</v>
      </c>
      <c r="L152" s="99">
        <f>IF(I152=6,(LEN(K152)+1)*8,IF(I152=7,(1 + HEX2DEC(MID(K152,3,FIND(",",K152)-3)))*8,IF(I152=14,(LEN(K152)+1)*16,IF(I152=15,(1 + HEX2DEC(MID(K152,3,FIND(",",K152)-3)))*16,VLOOKUP(G152,m2mFormatLUT!$B$2:$D$17,3,FALSE)))))</f>
        <v>1</v>
      </c>
    </row>
    <row r="153" spans="1:14" x14ac:dyDescent="0.55000000000000004">
      <c r="A153" s="99" t="s">
        <v>608</v>
      </c>
      <c r="B153" s="105" t="s">
        <v>609</v>
      </c>
      <c r="C153" s="100" t="s">
        <v>265</v>
      </c>
      <c r="D153" s="106" t="s">
        <v>116</v>
      </c>
      <c r="E153" s="101" t="s">
        <v>1152</v>
      </c>
      <c r="F153" s="102">
        <v>0</v>
      </c>
      <c r="G153" s="100" t="s">
        <v>1153</v>
      </c>
      <c r="H153" s="99">
        <v>151</v>
      </c>
      <c r="I153" s="99">
        <f>VLOOKUP(G153,m2mFormatLUT!$B$2:$D$17,2,FALSE)</f>
        <v>0</v>
      </c>
      <c r="J153" s="99" t="str">
        <f>IF(E153=m2mFormatLUT!$A$2,CONCATENATE(DEC2HEX(I153,1),DEC2HEX(H153,3)),CONCATENATE(DEC2HEX(240,2),DEC2HEX(I153,1),DEC2HEX(H153,5)))</f>
        <v>0097</v>
      </c>
      <c r="K153" s="99">
        <v>0</v>
      </c>
      <c r="L153" s="99">
        <f>IF(I153=6,(LEN(K153)+1)*8,IF(I153=7,(1 + HEX2DEC(MID(K153,3,FIND(",",K153)-3)))*8,IF(I153=14,(LEN(K153)+1)*16,IF(I153=15,(1 + HEX2DEC(MID(K153,3,FIND(",",K153)-3)))*16,VLOOKUP(G153,m2mFormatLUT!$B$2:$D$17,3,FALSE)))))</f>
        <v>1</v>
      </c>
    </row>
    <row r="154" spans="1:14" x14ac:dyDescent="0.55000000000000004">
      <c r="A154" s="99" t="s">
        <v>610</v>
      </c>
      <c r="B154" s="105" t="s">
        <v>611</v>
      </c>
      <c r="C154" s="100" t="s">
        <v>265</v>
      </c>
      <c r="D154" s="106" t="s">
        <v>116</v>
      </c>
      <c r="E154" s="101" t="s">
        <v>1152</v>
      </c>
      <c r="F154" s="102">
        <v>0</v>
      </c>
      <c r="G154" s="100" t="s">
        <v>1153</v>
      </c>
      <c r="H154" s="99">
        <v>152</v>
      </c>
      <c r="I154" s="99">
        <f>VLOOKUP(G154,m2mFormatLUT!$B$2:$D$17,2,FALSE)</f>
        <v>0</v>
      </c>
      <c r="J154" s="99" t="str">
        <f>IF(E154=m2mFormatLUT!$A$2,CONCATENATE(DEC2HEX(I154,1),DEC2HEX(H154,3)),CONCATENATE(DEC2HEX(240,2),DEC2HEX(I154,1),DEC2HEX(H154,5)))</f>
        <v>0098</v>
      </c>
      <c r="K154" s="99">
        <v>0</v>
      </c>
      <c r="L154" s="99">
        <f>IF(I154=6,(LEN(K154)+1)*8,IF(I154=7,(1 + HEX2DEC(MID(K154,3,FIND(",",K154)-3)))*8,IF(I154=14,(LEN(K154)+1)*16,IF(I154=15,(1 + HEX2DEC(MID(K154,3,FIND(",",K154)-3)))*16,VLOOKUP(G154,m2mFormatLUT!$B$2:$D$17,3,FALSE)))))</f>
        <v>1</v>
      </c>
    </row>
    <row r="155" spans="1:14" x14ac:dyDescent="0.55000000000000004">
      <c r="A155" s="104" t="s">
        <v>612</v>
      </c>
      <c r="B155" s="105" t="s">
        <v>613</v>
      </c>
      <c r="C155" s="100" t="s">
        <v>265</v>
      </c>
      <c r="D155" s="106" t="s">
        <v>116</v>
      </c>
      <c r="E155" s="101" t="s">
        <v>1152</v>
      </c>
      <c r="F155" s="102">
        <v>0</v>
      </c>
      <c r="G155" s="100" t="s">
        <v>1153</v>
      </c>
      <c r="H155" s="99">
        <v>153</v>
      </c>
      <c r="I155" s="99">
        <f>VLOOKUP(G155,m2mFormatLUT!$B$2:$D$17,2,FALSE)</f>
        <v>0</v>
      </c>
      <c r="J155" s="99" t="str">
        <f>IF(E155=m2mFormatLUT!$A$2,CONCATENATE(DEC2HEX(I155,1),DEC2HEX(H155,3)),CONCATENATE(DEC2HEX(240,2),DEC2HEX(I155,1),DEC2HEX(H155,5)))</f>
        <v>0099</v>
      </c>
      <c r="K155" s="99">
        <v>0</v>
      </c>
      <c r="L155" s="99">
        <f>IF(I155=6,(LEN(K155)+1)*8,IF(I155=7,(1 + HEX2DEC(MID(K155,3,FIND(",",K155)-3)))*8,IF(I155=14,(LEN(K155)+1)*16,IF(I155=15,(1 + HEX2DEC(MID(K155,3,FIND(",",K155)-3)))*16,VLOOKUP(G155,m2mFormatLUT!$B$2:$D$17,3,FALSE)))))</f>
        <v>1</v>
      </c>
      <c r="N155" s="99" t="s">
        <v>1157</v>
      </c>
    </row>
    <row r="156" spans="1:14" x14ac:dyDescent="0.55000000000000004">
      <c r="A156" s="104" t="s">
        <v>614</v>
      </c>
      <c r="B156" s="105" t="s">
        <v>615</v>
      </c>
      <c r="C156" s="100" t="s">
        <v>265</v>
      </c>
      <c r="D156" s="106" t="s">
        <v>116</v>
      </c>
      <c r="E156" s="101" t="s">
        <v>1152</v>
      </c>
      <c r="F156" s="102">
        <v>0</v>
      </c>
      <c r="G156" s="100" t="s">
        <v>1153</v>
      </c>
      <c r="H156" s="99">
        <v>154</v>
      </c>
      <c r="I156" s="99">
        <f>VLOOKUP(G156,m2mFormatLUT!$B$2:$D$17,2,FALSE)</f>
        <v>0</v>
      </c>
      <c r="J156" s="99" t="str">
        <f>IF(E156=m2mFormatLUT!$A$2,CONCATENATE(DEC2HEX(I156,1),DEC2HEX(H156,3)),CONCATENATE(DEC2HEX(240,2),DEC2HEX(I156,1),DEC2HEX(H156,5)))</f>
        <v>009A</v>
      </c>
      <c r="K156" s="99">
        <v>0</v>
      </c>
      <c r="L156" s="99">
        <f>IF(I156=6,(LEN(K156)+1)*8,IF(I156=7,(1 + HEX2DEC(MID(K156,3,FIND(",",K156)-3)))*8,IF(I156=14,(LEN(K156)+1)*16,IF(I156=15,(1 + HEX2DEC(MID(K156,3,FIND(",",K156)-3)))*16,VLOOKUP(G156,m2mFormatLUT!$B$2:$D$17,3,FALSE)))))</f>
        <v>1</v>
      </c>
      <c r="N156" s="99" t="s">
        <v>1157</v>
      </c>
    </row>
    <row r="157" spans="1:14" x14ac:dyDescent="0.55000000000000004">
      <c r="A157" s="104" t="s">
        <v>616</v>
      </c>
      <c r="B157" s="105" t="s">
        <v>617</v>
      </c>
      <c r="C157" s="100" t="s">
        <v>265</v>
      </c>
      <c r="D157" s="106" t="s">
        <v>116</v>
      </c>
      <c r="E157" s="101" t="s">
        <v>1152</v>
      </c>
      <c r="F157" s="102">
        <v>0</v>
      </c>
      <c r="G157" s="100" t="s">
        <v>1153</v>
      </c>
      <c r="H157" s="99">
        <v>155</v>
      </c>
      <c r="I157" s="99">
        <f>VLOOKUP(G157,m2mFormatLUT!$B$2:$D$17,2,FALSE)</f>
        <v>0</v>
      </c>
      <c r="J157" s="99" t="str">
        <f>IF(E157=m2mFormatLUT!$A$2,CONCATENATE(DEC2HEX(I157,1),DEC2HEX(H157,3)),CONCATENATE(DEC2HEX(240,2),DEC2HEX(I157,1),DEC2HEX(H157,5)))</f>
        <v>009B</v>
      </c>
      <c r="K157" s="99">
        <v>0</v>
      </c>
      <c r="L157" s="99">
        <f>IF(I157=6,(LEN(K157)+1)*8,IF(I157=7,(1 + HEX2DEC(MID(K157,3,FIND(",",K157)-3)))*8,IF(I157=14,(LEN(K157)+1)*16,IF(I157=15,(1 + HEX2DEC(MID(K157,3,FIND(",",K157)-3)))*16,VLOOKUP(G157,m2mFormatLUT!$B$2:$D$17,3,FALSE)))))</f>
        <v>1</v>
      </c>
      <c r="N157" s="99" t="s">
        <v>1157</v>
      </c>
    </row>
    <row r="158" spans="1:14" x14ac:dyDescent="0.55000000000000004">
      <c r="A158" s="104" t="s">
        <v>618</v>
      </c>
      <c r="B158" s="105" t="s">
        <v>619</v>
      </c>
      <c r="C158" s="100" t="s">
        <v>265</v>
      </c>
      <c r="D158" s="106" t="s">
        <v>116</v>
      </c>
      <c r="E158" s="101" t="s">
        <v>1152</v>
      </c>
      <c r="F158" s="102">
        <v>0</v>
      </c>
      <c r="G158" s="100" t="s">
        <v>1153</v>
      </c>
      <c r="H158" s="99">
        <v>156</v>
      </c>
      <c r="I158" s="99">
        <f>VLOOKUP(G158,m2mFormatLUT!$B$2:$D$17,2,FALSE)</f>
        <v>0</v>
      </c>
      <c r="J158" s="99" t="str">
        <f>IF(E158=m2mFormatLUT!$A$2,CONCATENATE(DEC2HEX(I158,1),DEC2HEX(H158,3)),CONCATENATE(DEC2HEX(240,2),DEC2HEX(I158,1),DEC2HEX(H158,5)))</f>
        <v>009C</v>
      </c>
      <c r="K158" s="99">
        <v>0</v>
      </c>
      <c r="L158" s="99">
        <f>IF(I158=6,(LEN(K158)+1)*8,IF(I158=7,(1 + HEX2DEC(MID(K158,3,FIND(",",K158)-3)))*8,IF(I158=14,(LEN(K158)+1)*16,IF(I158=15,(1 + HEX2DEC(MID(K158,3,FIND(",",K158)-3)))*16,VLOOKUP(G158,m2mFormatLUT!$B$2:$D$17,3,FALSE)))))</f>
        <v>1</v>
      </c>
      <c r="N158" s="99" t="s">
        <v>1157</v>
      </c>
    </row>
    <row r="159" spans="1:14" x14ac:dyDescent="0.55000000000000004">
      <c r="A159" s="99" t="s">
        <v>620</v>
      </c>
      <c r="B159" s="105" t="s">
        <v>621</v>
      </c>
      <c r="C159" s="100" t="s">
        <v>265</v>
      </c>
      <c r="D159" s="106" t="s">
        <v>116</v>
      </c>
      <c r="E159" s="101" t="s">
        <v>1152</v>
      </c>
      <c r="F159" s="102">
        <v>0</v>
      </c>
      <c r="G159" s="100" t="s">
        <v>1153</v>
      </c>
      <c r="H159" s="99">
        <v>157</v>
      </c>
      <c r="I159" s="99">
        <f>VLOOKUP(G159,m2mFormatLUT!$B$2:$D$17,2,FALSE)</f>
        <v>0</v>
      </c>
      <c r="J159" s="99" t="str">
        <f>IF(E159=m2mFormatLUT!$A$2,CONCATENATE(DEC2HEX(I159,1),DEC2HEX(H159,3)),CONCATENATE(DEC2HEX(240,2),DEC2HEX(I159,1),DEC2HEX(H159,5)))</f>
        <v>009D</v>
      </c>
      <c r="K159" s="99">
        <v>0</v>
      </c>
      <c r="L159" s="99">
        <f>IF(I159=6,(LEN(K159)+1)*8,IF(I159=7,(1 + HEX2DEC(MID(K159,3,FIND(",",K159)-3)))*8,IF(I159=14,(LEN(K159)+1)*16,IF(I159=15,(1 + HEX2DEC(MID(K159,3,FIND(",",K159)-3)))*16,VLOOKUP(G159,m2mFormatLUT!$B$2:$D$17,3,FALSE)))))</f>
        <v>1</v>
      </c>
    </row>
    <row r="160" spans="1:14" x14ac:dyDescent="0.55000000000000004">
      <c r="A160" s="99" t="s">
        <v>622</v>
      </c>
      <c r="B160" s="105" t="s">
        <v>623</v>
      </c>
      <c r="C160" s="100" t="s">
        <v>265</v>
      </c>
      <c r="D160" s="106" t="s">
        <v>116</v>
      </c>
      <c r="E160" s="101" t="s">
        <v>1152</v>
      </c>
      <c r="F160" s="102">
        <v>0</v>
      </c>
      <c r="G160" s="100" t="s">
        <v>1153</v>
      </c>
      <c r="H160" s="99">
        <v>158</v>
      </c>
      <c r="I160" s="99">
        <f>VLOOKUP(G160,m2mFormatLUT!$B$2:$D$17,2,FALSE)</f>
        <v>0</v>
      </c>
      <c r="J160" s="99" t="str">
        <f>IF(E160=m2mFormatLUT!$A$2,CONCATENATE(DEC2HEX(I160,1),DEC2HEX(H160,3)),CONCATENATE(DEC2HEX(240,2),DEC2HEX(I160,1),DEC2HEX(H160,5)))</f>
        <v>009E</v>
      </c>
      <c r="K160" s="99">
        <v>0</v>
      </c>
      <c r="L160" s="99">
        <f>IF(I160=6,(LEN(K160)+1)*8,IF(I160=7,(1 + HEX2DEC(MID(K160,3,FIND(",",K160)-3)))*8,IF(I160=14,(LEN(K160)+1)*16,IF(I160=15,(1 + HEX2DEC(MID(K160,3,FIND(",",K160)-3)))*16,VLOOKUP(G160,m2mFormatLUT!$B$2:$D$17,3,FALSE)))))</f>
        <v>1</v>
      </c>
    </row>
    <row r="161" spans="1:14" x14ac:dyDescent="0.55000000000000004">
      <c r="A161" s="107" t="s">
        <v>626</v>
      </c>
      <c r="B161" s="105" t="s">
        <v>627</v>
      </c>
      <c r="C161" s="100" t="s">
        <v>265</v>
      </c>
      <c r="D161" s="106" t="s">
        <v>625</v>
      </c>
      <c r="E161" s="101" t="s">
        <v>1152</v>
      </c>
      <c r="F161" s="102">
        <v>0</v>
      </c>
      <c r="G161" s="100" t="s">
        <v>1153</v>
      </c>
      <c r="H161" s="99">
        <v>159</v>
      </c>
      <c r="I161" s="99">
        <f>VLOOKUP(G161,m2mFormatLUT!$B$2:$D$17,2,FALSE)</f>
        <v>0</v>
      </c>
      <c r="J161" s="99" t="str">
        <f>IF(E161=m2mFormatLUT!$A$2,CONCATENATE(DEC2HEX(I161,1),DEC2HEX(H161,3)),CONCATENATE(DEC2HEX(240,2),DEC2HEX(I161,1),DEC2HEX(H161,5)))</f>
        <v>009F</v>
      </c>
      <c r="K161" s="99">
        <v>0</v>
      </c>
      <c r="L161" s="99">
        <f>IF(I161=6,(LEN(K161)+1)*8,IF(I161=7,(1 + HEX2DEC(MID(K161,3,FIND(",",K161)-3)))*8,IF(I161=14,(LEN(K161)+1)*16,IF(I161=15,(1 + HEX2DEC(MID(K161,3,FIND(",",K161)-3)))*16,VLOOKUP(G161,m2mFormatLUT!$B$2:$D$17,3,FALSE)))))</f>
        <v>1</v>
      </c>
      <c r="N161" s="99" t="s">
        <v>1158</v>
      </c>
    </row>
    <row r="162" spans="1:14" x14ac:dyDescent="0.55000000000000004">
      <c r="A162" s="107" t="s">
        <v>628</v>
      </c>
      <c r="B162" s="105" t="s">
        <v>124</v>
      </c>
      <c r="C162" s="100" t="s">
        <v>265</v>
      </c>
      <c r="D162" s="106" t="s">
        <v>625</v>
      </c>
      <c r="E162" s="101" t="s">
        <v>1152</v>
      </c>
      <c r="F162" s="102">
        <v>0</v>
      </c>
      <c r="G162" s="100" t="s">
        <v>1153</v>
      </c>
      <c r="H162" s="99">
        <v>160</v>
      </c>
      <c r="I162" s="99">
        <f>VLOOKUP(G162,m2mFormatLUT!$B$2:$D$17,2,FALSE)</f>
        <v>0</v>
      </c>
      <c r="J162" s="99" t="str">
        <f>IF(E162=m2mFormatLUT!$A$2,CONCATENATE(DEC2HEX(I162,1),DEC2HEX(H162,3)),CONCATENATE(DEC2HEX(240,2),DEC2HEX(I162,1),DEC2HEX(H162,5)))</f>
        <v>00A0</v>
      </c>
      <c r="K162" s="99">
        <v>0</v>
      </c>
      <c r="L162" s="99">
        <f>IF(I162=6,(LEN(K162)+1)*8,IF(I162=7,(1 + HEX2DEC(MID(K162,3,FIND(",",K162)-3)))*8,IF(I162=14,(LEN(K162)+1)*16,IF(I162=15,(1 + HEX2DEC(MID(K162,3,FIND(",",K162)-3)))*16,VLOOKUP(G162,m2mFormatLUT!$B$2:$D$17,3,FALSE)))))</f>
        <v>1</v>
      </c>
    </row>
    <row r="163" spans="1:14" x14ac:dyDescent="0.55000000000000004">
      <c r="A163" s="99" t="s">
        <v>629</v>
      </c>
      <c r="B163" s="105" t="s">
        <v>630</v>
      </c>
      <c r="C163" s="100" t="s">
        <v>265</v>
      </c>
      <c r="D163" s="106" t="s">
        <v>625</v>
      </c>
      <c r="E163" s="101" t="s">
        <v>1152</v>
      </c>
      <c r="F163" s="102">
        <v>0</v>
      </c>
      <c r="G163" s="100" t="s">
        <v>1153</v>
      </c>
      <c r="H163" s="99">
        <v>161</v>
      </c>
      <c r="I163" s="99">
        <f>VLOOKUP(G163,m2mFormatLUT!$B$2:$D$17,2,FALSE)</f>
        <v>0</v>
      </c>
      <c r="J163" s="99" t="str">
        <f>IF(E163=m2mFormatLUT!$A$2,CONCATENATE(DEC2HEX(I163,1),DEC2HEX(H163,3)),CONCATENATE(DEC2HEX(240,2),DEC2HEX(I163,1),DEC2HEX(H163,5)))</f>
        <v>00A1</v>
      </c>
      <c r="K163" s="99">
        <v>0</v>
      </c>
      <c r="L163" s="99">
        <f>IF(I163=6,(LEN(K163)+1)*8,IF(I163=7,(1 + HEX2DEC(MID(K163,3,FIND(",",K163)-3)))*8,IF(I163=14,(LEN(K163)+1)*16,IF(I163=15,(1 + HEX2DEC(MID(K163,3,FIND(",",K163)-3)))*16,VLOOKUP(G163,m2mFormatLUT!$B$2:$D$17,3,FALSE)))))</f>
        <v>1</v>
      </c>
    </row>
    <row r="164" spans="1:14" x14ac:dyDescent="0.55000000000000004">
      <c r="A164" s="99" t="s">
        <v>631</v>
      </c>
      <c r="B164" s="105" t="s">
        <v>125</v>
      </c>
      <c r="C164" s="100" t="s">
        <v>265</v>
      </c>
      <c r="D164" s="106" t="s">
        <v>625</v>
      </c>
      <c r="E164" s="101" t="s">
        <v>1152</v>
      </c>
      <c r="F164" s="102">
        <v>0</v>
      </c>
      <c r="G164" s="100" t="s">
        <v>1153</v>
      </c>
      <c r="H164" s="99">
        <v>162</v>
      </c>
      <c r="I164" s="99">
        <f>VLOOKUP(G164,m2mFormatLUT!$B$2:$D$17,2,FALSE)</f>
        <v>0</v>
      </c>
      <c r="J164" s="99" t="str">
        <f>IF(E164=m2mFormatLUT!$A$2,CONCATENATE(DEC2HEX(I164,1),DEC2HEX(H164,3)),CONCATENATE(DEC2HEX(240,2),DEC2HEX(I164,1),DEC2HEX(H164,5)))</f>
        <v>00A2</v>
      </c>
      <c r="K164" s="99">
        <v>0</v>
      </c>
      <c r="L164" s="99">
        <f>IF(I164=6,(LEN(K164)+1)*8,IF(I164=7,(1 + HEX2DEC(MID(K164,3,FIND(",",K164)-3)))*8,IF(I164=14,(LEN(K164)+1)*16,IF(I164=15,(1 + HEX2DEC(MID(K164,3,FIND(",",K164)-3)))*16,VLOOKUP(G164,m2mFormatLUT!$B$2:$D$17,3,FALSE)))))</f>
        <v>1</v>
      </c>
    </row>
    <row r="165" spans="1:14" x14ac:dyDescent="0.55000000000000004">
      <c r="A165" s="99" t="s">
        <v>632</v>
      </c>
      <c r="B165" s="105" t="s">
        <v>126</v>
      </c>
      <c r="C165" s="100" t="s">
        <v>265</v>
      </c>
      <c r="D165" s="106" t="s">
        <v>625</v>
      </c>
      <c r="E165" s="101" t="s">
        <v>1152</v>
      </c>
      <c r="F165" s="102">
        <v>0</v>
      </c>
      <c r="G165" s="100" t="s">
        <v>1153</v>
      </c>
      <c r="H165" s="99">
        <v>163</v>
      </c>
      <c r="I165" s="99">
        <f>VLOOKUP(G165,m2mFormatLUT!$B$2:$D$17,2,FALSE)</f>
        <v>0</v>
      </c>
      <c r="J165" s="99" t="str">
        <f>IF(E165=m2mFormatLUT!$A$2,CONCATENATE(DEC2HEX(I165,1),DEC2HEX(H165,3)),CONCATENATE(DEC2HEX(240,2),DEC2HEX(I165,1),DEC2HEX(H165,5)))</f>
        <v>00A3</v>
      </c>
      <c r="K165" s="99">
        <v>0</v>
      </c>
      <c r="L165" s="99">
        <f>IF(I165=6,(LEN(K165)+1)*8,IF(I165=7,(1 + HEX2DEC(MID(K165,3,FIND(",",K165)-3)))*8,IF(I165=14,(LEN(K165)+1)*16,IF(I165=15,(1 + HEX2DEC(MID(K165,3,FIND(",",K165)-3)))*16,VLOOKUP(G165,m2mFormatLUT!$B$2:$D$17,3,FALSE)))))</f>
        <v>1</v>
      </c>
    </row>
    <row r="166" spans="1:14" x14ac:dyDescent="0.55000000000000004">
      <c r="A166" s="99" t="s">
        <v>633</v>
      </c>
      <c r="B166" s="105" t="s">
        <v>634</v>
      </c>
      <c r="C166" s="100" t="s">
        <v>265</v>
      </c>
      <c r="D166" s="106" t="s">
        <v>625</v>
      </c>
      <c r="E166" s="101" t="s">
        <v>1152</v>
      </c>
      <c r="F166" s="102">
        <v>0</v>
      </c>
      <c r="G166" s="100" t="s">
        <v>1153</v>
      </c>
      <c r="H166" s="99">
        <v>164</v>
      </c>
      <c r="I166" s="99">
        <f>VLOOKUP(G166,m2mFormatLUT!$B$2:$D$17,2,FALSE)</f>
        <v>0</v>
      </c>
      <c r="J166" s="99" t="str">
        <f>IF(E166=m2mFormatLUT!$A$2,CONCATENATE(DEC2HEX(I166,1),DEC2HEX(H166,3)),CONCATENATE(DEC2HEX(240,2),DEC2HEX(I166,1),DEC2HEX(H166,5)))</f>
        <v>00A4</v>
      </c>
      <c r="K166" s="99">
        <v>0</v>
      </c>
      <c r="L166" s="99">
        <f>IF(I166=6,(LEN(K166)+1)*8,IF(I166=7,(1 + HEX2DEC(MID(K166,3,FIND(",",K166)-3)))*8,IF(I166=14,(LEN(K166)+1)*16,IF(I166=15,(1 + HEX2DEC(MID(K166,3,FIND(",",K166)-3)))*16,VLOOKUP(G166,m2mFormatLUT!$B$2:$D$17,3,FALSE)))))</f>
        <v>1</v>
      </c>
    </row>
    <row r="167" spans="1:14" x14ac:dyDescent="0.55000000000000004">
      <c r="A167" s="99" t="s">
        <v>639</v>
      </c>
      <c r="B167" s="105" t="s">
        <v>640</v>
      </c>
      <c r="C167" s="100" t="s">
        <v>265</v>
      </c>
      <c r="D167" s="106" t="s">
        <v>94</v>
      </c>
      <c r="E167" s="101" t="s">
        <v>1152</v>
      </c>
      <c r="F167" s="102">
        <v>0</v>
      </c>
      <c r="G167" s="100" t="s">
        <v>1153</v>
      </c>
      <c r="H167" s="99">
        <v>165</v>
      </c>
      <c r="I167" s="99">
        <f>VLOOKUP(G167,m2mFormatLUT!$B$2:$D$17,2,FALSE)</f>
        <v>0</v>
      </c>
      <c r="J167" s="99" t="str">
        <f>IF(E167=m2mFormatLUT!$A$2,CONCATENATE(DEC2HEX(I167,1),DEC2HEX(H167,3)),CONCATENATE(DEC2HEX(240,2),DEC2HEX(I167,1),DEC2HEX(H167,5)))</f>
        <v>00A5</v>
      </c>
      <c r="K167" s="99">
        <v>0</v>
      </c>
      <c r="L167" s="99">
        <f>IF(I167=6,(LEN(K167)+1)*8,IF(I167=7,(1 + HEX2DEC(MID(K167,3,FIND(",",K167)-3)))*8,IF(I167=14,(LEN(K167)+1)*16,IF(I167=15,(1 + HEX2DEC(MID(K167,3,FIND(",",K167)-3)))*16,VLOOKUP(G167,m2mFormatLUT!$B$2:$D$17,3,FALSE)))))</f>
        <v>1</v>
      </c>
    </row>
    <row r="168" spans="1:14" x14ac:dyDescent="0.55000000000000004">
      <c r="A168" s="99" t="s">
        <v>641</v>
      </c>
      <c r="B168" s="105" t="s">
        <v>642</v>
      </c>
      <c r="C168" s="100" t="s">
        <v>265</v>
      </c>
      <c r="D168" s="106" t="s">
        <v>94</v>
      </c>
      <c r="E168" s="101" t="s">
        <v>1152</v>
      </c>
      <c r="F168" s="102">
        <v>0</v>
      </c>
      <c r="G168" s="100" t="s">
        <v>1153</v>
      </c>
      <c r="H168" s="99">
        <v>166</v>
      </c>
      <c r="I168" s="99">
        <f>VLOOKUP(G168,m2mFormatLUT!$B$2:$D$17,2,FALSE)</f>
        <v>0</v>
      </c>
      <c r="J168" s="99" t="str">
        <f>IF(E168=m2mFormatLUT!$A$2,CONCATENATE(DEC2HEX(I168,1),DEC2HEX(H168,3)),CONCATENATE(DEC2HEX(240,2),DEC2HEX(I168,1),DEC2HEX(H168,5)))</f>
        <v>00A6</v>
      </c>
      <c r="K168" s="99">
        <v>0</v>
      </c>
      <c r="L168" s="99">
        <f>IF(I168=6,(LEN(K168)+1)*8,IF(I168=7,(1 + HEX2DEC(MID(K168,3,FIND(",",K168)-3)))*8,IF(I168=14,(LEN(K168)+1)*16,IF(I168=15,(1 + HEX2DEC(MID(K168,3,FIND(",",K168)-3)))*16,VLOOKUP(G168,m2mFormatLUT!$B$2:$D$17,3,FALSE)))))</f>
        <v>1</v>
      </c>
    </row>
    <row r="169" spans="1:14" x14ac:dyDescent="0.55000000000000004">
      <c r="A169" s="99" t="s">
        <v>643</v>
      </c>
      <c r="B169" s="105" t="s">
        <v>644</v>
      </c>
      <c r="C169" s="100" t="s">
        <v>265</v>
      </c>
      <c r="D169" s="106" t="s">
        <v>94</v>
      </c>
      <c r="E169" s="101" t="s">
        <v>1152</v>
      </c>
      <c r="F169" s="102">
        <v>0</v>
      </c>
      <c r="G169" s="100" t="s">
        <v>1153</v>
      </c>
      <c r="H169" s="99">
        <v>167</v>
      </c>
      <c r="I169" s="99">
        <f>VLOOKUP(G169,m2mFormatLUT!$B$2:$D$17,2,FALSE)</f>
        <v>0</v>
      </c>
      <c r="J169" s="99" t="str">
        <f>IF(E169=m2mFormatLUT!$A$2,CONCATENATE(DEC2HEX(I169,1),DEC2HEX(H169,3)),CONCATENATE(DEC2HEX(240,2),DEC2HEX(I169,1),DEC2HEX(H169,5)))</f>
        <v>00A7</v>
      </c>
      <c r="K169" s="99">
        <v>0</v>
      </c>
      <c r="L169" s="99">
        <f>IF(I169=6,(LEN(K169)+1)*8,IF(I169=7,(1 + HEX2DEC(MID(K169,3,FIND(",",K169)-3)))*8,IF(I169=14,(LEN(K169)+1)*16,IF(I169=15,(1 + HEX2DEC(MID(K169,3,FIND(",",K169)-3)))*16,VLOOKUP(G169,m2mFormatLUT!$B$2:$D$17,3,FALSE)))))</f>
        <v>1</v>
      </c>
    </row>
    <row r="170" spans="1:14" x14ac:dyDescent="0.55000000000000004">
      <c r="A170" s="99" t="s">
        <v>645</v>
      </c>
      <c r="B170" s="105" t="s">
        <v>646</v>
      </c>
      <c r="C170" s="100" t="s">
        <v>265</v>
      </c>
      <c r="D170" s="106" t="s">
        <v>94</v>
      </c>
      <c r="E170" s="101" t="s">
        <v>1152</v>
      </c>
      <c r="F170" s="102">
        <v>0</v>
      </c>
      <c r="G170" s="100" t="s">
        <v>1153</v>
      </c>
      <c r="H170" s="99">
        <v>168</v>
      </c>
      <c r="I170" s="99">
        <f>VLOOKUP(G170,m2mFormatLUT!$B$2:$D$17,2,FALSE)</f>
        <v>0</v>
      </c>
      <c r="J170" s="99" t="str">
        <f>IF(E170=m2mFormatLUT!$A$2,CONCATENATE(DEC2HEX(I170,1),DEC2HEX(H170,3)),CONCATENATE(DEC2HEX(240,2),DEC2HEX(I170,1),DEC2HEX(H170,5)))</f>
        <v>00A8</v>
      </c>
      <c r="K170" s="99">
        <v>0</v>
      </c>
      <c r="L170" s="99">
        <f>IF(I170=6,(LEN(K170)+1)*8,IF(I170=7,(1 + HEX2DEC(MID(K170,3,FIND(",",K170)-3)))*8,IF(I170=14,(LEN(K170)+1)*16,IF(I170=15,(1 + HEX2DEC(MID(K170,3,FIND(",",K170)-3)))*16,VLOOKUP(G170,m2mFormatLUT!$B$2:$D$17,3,FALSE)))))</f>
        <v>1</v>
      </c>
    </row>
    <row r="171" spans="1:14" x14ac:dyDescent="0.55000000000000004">
      <c r="A171" s="99" t="s">
        <v>647</v>
      </c>
      <c r="B171" s="105" t="s">
        <v>648</v>
      </c>
      <c r="C171" s="100" t="s">
        <v>265</v>
      </c>
      <c r="D171" s="106" t="s">
        <v>94</v>
      </c>
      <c r="E171" s="101" t="s">
        <v>1152</v>
      </c>
      <c r="F171" s="102">
        <v>0</v>
      </c>
      <c r="G171" s="100" t="s">
        <v>1153</v>
      </c>
      <c r="H171" s="99">
        <v>169</v>
      </c>
      <c r="I171" s="99">
        <f>VLOOKUP(G171,m2mFormatLUT!$B$2:$D$17,2,FALSE)</f>
        <v>0</v>
      </c>
      <c r="J171" s="99" t="str">
        <f>IF(E171=m2mFormatLUT!$A$2,CONCATENATE(DEC2HEX(I171,1),DEC2HEX(H171,3)),CONCATENATE(DEC2HEX(240,2),DEC2HEX(I171,1),DEC2HEX(H171,5)))</f>
        <v>00A9</v>
      </c>
      <c r="K171" s="99">
        <v>0</v>
      </c>
      <c r="L171" s="99">
        <f>IF(I171=6,(LEN(K171)+1)*8,IF(I171=7,(1 + HEX2DEC(MID(K171,3,FIND(",",K171)-3)))*8,IF(I171=14,(LEN(K171)+1)*16,IF(I171=15,(1 + HEX2DEC(MID(K171,3,FIND(",",K171)-3)))*16,VLOOKUP(G171,m2mFormatLUT!$B$2:$D$17,3,FALSE)))))</f>
        <v>1</v>
      </c>
    </row>
    <row r="172" spans="1:14" x14ac:dyDescent="0.55000000000000004">
      <c r="A172" s="99" t="s">
        <v>650</v>
      </c>
      <c r="B172" s="105" t="s">
        <v>651</v>
      </c>
      <c r="C172" s="100" t="s">
        <v>265</v>
      </c>
      <c r="D172" s="106" t="s">
        <v>94</v>
      </c>
      <c r="E172" s="101" t="s">
        <v>1152</v>
      </c>
      <c r="F172" s="102">
        <v>0</v>
      </c>
      <c r="G172" s="100" t="s">
        <v>1153</v>
      </c>
      <c r="H172" s="99">
        <v>170</v>
      </c>
      <c r="I172" s="99">
        <f>VLOOKUP(G172,m2mFormatLUT!$B$2:$D$17,2,FALSE)</f>
        <v>0</v>
      </c>
      <c r="J172" s="99" t="str">
        <f>IF(E172=m2mFormatLUT!$A$2,CONCATENATE(DEC2HEX(I172,1),DEC2HEX(H172,3)),CONCATENATE(DEC2HEX(240,2),DEC2HEX(I172,1),DEC2HEX(H172,5)))</f>
        <v>00AA</v>
      </c>
      <c r="K172" s="99">
        <v>0</v>
      </c>
      <c r="L172" s="99">
        <f>IF(I172=6,(LEN(K172)+1)*8,IF(I172=7,(1 + HEX2DEC(MID(K172,3,FIND(",",K172)-3)))*8,IF(I172=14,(LEN(K172)+1)*16,IF(I172=15,(1 + HEX2DEC(MID(K172,3,FIND(",",K172)-3)))*16,VLOOKUP(G172,m2mFormatLUT!$B$2:$D$17,3,FALSE)))))</f>
        <v>1</v>
      </c>
    </row>
    <row r="173" spans="1:14" x14ac:dyDescent="0.55000000000000004">
      <c r="A173" s="99" t="s">
        <v>652</v>
      </c>
      <c r="B173" s="105" t="s">
        <v>653</v>
      </c>
      <c r="C173" s="100" t="s">
        <v>265</v>
      </c>
      <c r="D173" s="106" t="s">
        <v>94</v>
      </c>
      <c r="E173" s="101" t="s">
        <v>1152</v>
      </c>
      <c r="F173" s="102">
        <v>0</v>
      </c>
      <c r="G173" s="100" t="s">
        <v>1153</v>
      </c>
      <c r="H173" s="99">
        <v>171</v>
      </c>
      <c r="I173" s="99">
        <f>VLOOKUP(G173,m2mFormatLUT!$B$2:$D$17,2,FALSE)</f>
        <v>0</v>
      </c>
      <c r="J173" s="99" t="str">
        <f>IF(E173=m2mFormatLUT!$A$2,CONCATENATE(DEC2HEX(I173,1),DEC2HEX(H173,3)),CONCATENATE(DEC2HEX(240,2),DEC2HEX(I173,1),DEC2HEX(H173,5)))</f>
        <v>00AB</v>
      </c>
      <c r="K173" s="99">
        <v>0</v>
      </c>
      <c r="L173" s="99">
        <f>IF(I173=6,(LEN(K173)+1)*8,IF(I173=7,(1 + HEX2DEC(MID(K173,3,FIND(",",K173)-3)))*8,IF(I173=14,(LEN(K173)+1)*16,IF(I173=15,(1 + HEX2DEC(MID(K173,3,FIND(",",K173)-3)))*16,VLOOKUP(G173,m2mFormatLUT!$B$2:$D$17,3,FALSE)))))</f>
        <v>1</v>
      </c>
    </row>
    <row r="174" spans="1:14" x14ac:dyDescent="0.55000000000000004">
      <c r="A174" s="99" t="s">
        <v>654</v>
      </c>
      <c r="B174" s="105" t="s">
        <v>655</v>
      </c>
      <c r="C174" s="100" t="s">
        <v>265</v>
      </c>
      <c r="D174" s="106" t="s">
        <v>94</v>
      </c>
      <c r="E174" s="101" t="s">
        <v>1152</v>
      </c>
      <c r="F174" s="102">
        <v>0</v>
      </c>
      <c r="G174" s="100" t="s">
        <v>1153</v>
      </c>
      <c r="H174" s="99">
        <v>172</v>
      </c>
      <c r="I174" s="99">
        <f>VLOOKUP(G174,m2mFormatLUT!$B$2:$D$17,2,FALSE)</f>
        <v>0</v>
      </c>
      <c r="J174" s="99" t="str">
        <f>IF(E174=m2mFormatLUT!$A$2,CONCATENATE(DEC2HEX(I174,1),DEC2HEX(H174,3)),CONCATENATE(DEC2HEX(240,2),DEC2HEX(I174,1),DEC2HEX(H174,5)))</f>
        <v>00AC</v>
      </c>
      <c r="K174" s="99">
        <v>0</v>
      </c>
      <c r="L174" s="99">
        <f>IF(I174=6,(LEN(K174)+1)*8,IF(I174=7,(1 + HEX2DEC(MID(K174,3,FIND(",",K174)-3)))*8,IF(I174=14,(LEN(K174)+1)*16,IF(I174=15,(1 + HEX2DEC(MID(K174,3,FIND(",",K174)-3)))*16,VLOOKUP(G174,m2mFormatLUT!$B$2:$D$17,3,FALSE)))))</f>
        <v>1</v>
      </c>
    </row>
    <row r="175" spans="1:14" x14ac:dyDescent="0.55000000000000004">
      <c r="A175" s="99" t="s">
        <v>656</v>
      </c>
      <c r="B175" s="105" t="s">
        <v>657</v>
      </c>
      <c r="C175" s="100" t="s">
        <v>265</v>
      </c>
      <c r="D175" s="106" t="s">
        <v>94</v>
      </c>
      <c r="E175" s="101" t="s">
        <v>1152</v>
      </c>
      <c r="F175" s="102">
        <v>0</v>
      </c>
      <c r="G175" s="100" t="s">
        <v>1153</v>
      </c>
      <c r="H175" s="99">
        <v>173</v>
      </c>
      <c r="I175" s="99">
        <f>VLOOKUP(G175,m2mFormatLUT!$B$2:$D$17,2,FALSE)</f>
        <v>0</v>
      </c>
      <c r="J175" s="99" t="str">
        <f>IF(E175=m2mFormatLUT!$A$2,CONCATENATE(DEC2HEX(I175,1),DEC2HEX(H175,3)),CONCATENATE(DEC2HEX(240,2),DEC2HEX(I175,1),DEC2HEX(H175,5)))</f>
        <v>00AD</v>
      </c>
      <c r="K175" s="99">
        <v>0</v>
      </c>
      <c r="L175" s="99">
        <f>IF(I175=6,(LEN(K175)+1)*8,IF(I175=7,(1 + HEX2DEC(MID(K175,3,FIND(",",K175)-3)))*8,IF(I175=14,(LEN(K175)+1)*16,IF(I175=15,(1 + HEX2DEC(MID(K175,3,FIND(",",K175)-3)))*16,VLOOKUP(G175,m2mFormatLUT!$B$2:$D$17,3,FALSE)))))</f>
        <v>1</v>
      </c>
    </row>
    <row r="176" spans="1:14" x14ac:dyDescent="0.55000000000000004">
      <c r="A176" s="99" t="s">
        <v>658</v>
      </c>
      <c r="B176" s="105" t="s">
        <v>659</v>
      </c>
      <c r="C176" s="100" t="s">
        <v>265</v>
      </c>
      <c r="D176" s="106" t="s">
        <v>94</v>
      </c>
      <c r="E176" s="101" t="s">
        <v>1152</v>
      </c>
      <c r="F176" s="102">
        <v>0</v>
      </c>
      <c r="G176" s="100" t="s">
        <v>1153</v>
      </c>
      <c r="H176" s="99">
        <v>174</v>
      </c>
      <c r="I176" s="99">
        <f>VLOOKUP(G176,m2mFormatLUT!$B$2:$D$17,2,FALSE)</f>
        <v>0</v>
      </c>
      <c r="J176" s="99" t="str">
        <f>IF(E176=m2mFormatLUT!$A$2,CONCATENATE(DEC2HEX(I176,1),DEC2HEX(H176,3)),CONCATENATE(DEC2HEX(240,2),DEC2HEX(I176,1),DEC2HEX(H176,5)))</f>
        <v>00AE</v>
      </c>
      <c r="K176" s="99">
        <v>0</v>
      </c>
      <c r="L176" s="99">
        <f>IF(I176=6,(LEN(K176)+1)*8,IF(I176=7,(1 + HEX2DEC(MID(K176,3,FIND(",",K176)-3)))*8,IF(I176=14,(LEN(K176)+1)*16,IF(I176=15,(1 + HEX2DEC(MID(K176,3,FIND(",",K176)-3)))*16,VLOOKUP(G176,m2mFormatLUT!$B$2:$D$17,3,FALSE)))))</f>
        <v>1</v>
      </c>
    </row>
    <row r="177" spans="1:14" x14ac:dyDescent="0.55000000000000004">
      <c r="A177" s="107" t="s">
        <v>660</v>
      </c>
      <c r="B177" s="105" t="s">
        <v>661</v>
      </c>
      <c r="C177" s="100" t="s">
        <v>265</v>
      </c>
      <c r="D177" s="106" t="s">
        <v>94</v>
      </c>
      <c r="E177" s="101" t="s">
        <v>1152</v>
      </c>
      <c r="F177" s="102">
        <v>0</v>
      </c>
      <c r="G177" s="100" t="s">
        <v>1153</v>
      </c>
      <c r="H177" s="99">
        <v>175</v>
      </c>
      <c r="I177" s="99">
        <f>VLOOKUP(G177,m2mFormatLUT!$B$2:$D$17,2,FALSE)</f>
        <v>0</v>
      </c>
      <c r="J177" s="99" t="str">
        <f>IF(E177=m2mFormatLUT!$A$2,CONCATENATE(DEC2HEX(I177,1),DEC2HEX(H177,3)),CONCATENATE(DEC2HEX(240,2),DEC2HEX(I177,1),DEC2HEX(H177,5)))</f>
        <v>00AF</v>
      </c>
      <c r="K177" s="99">
        <v>0</v>
      </c>
      <c r="L177" s="99">
        <f>IF(I177=6,(LEN(K177)+1)*8,IF(I177=7,(1 + HEX2DEC(MID(K177,3,FIND(",",K177)-3)))*8,IF(I177=14,(LEN(K177)+1)*16,IF(I177=15,(1 + HEX2DEC(MID(K177,3,FIND(",",K177)-3)))*16,VLOOKUP(G177,m2mFormatLUT!$B$2:$D$17,3,FALSE)))))</f>
        <v>1</v>
      </c>
      <c r="N177" s="99" t="s">
        <v>1155</v>
      </c>
    </row>
    <row r="178" spans="1:14" x14ac:dyDescent="0.55000000000000004">
      <c r="A178" s="107" t="s">
        <v>662</v>
      </c>
      <c r="B178" s="105" t="s">
        <v>663</v>
      </c>
      <c r="C178" s="100" t="s">
        <v>265</v>
      </c>
      <c r="D178" s="106" t="s">
        <v>94</v>
      </c>
      <c r="E178" s="101" t="s">
        <v>1152</v>
      </c>
      <c r="F178" s="102">
        <v>0</v>
      </c>
      <c r="G178" s="100" t="s">
        <v>1153</v>
      </c>
      <c r="H178" s="99">
        <v>176</v>
      </c>
      <c r="I178" s="99">
        <f>VLOOKUP(G178,m2mFormatLUT!$B$2:$D$17,2,FALSE)</f>
        <v>0</v>
      </c>
      <c r="J178" s="99" t="str">
        <f>IF(E178=m2mFormatLUT!$A$2,CONCATENATE(DEC2HEX(I178,1),DEC2HEX(H178,3)),CONCATENATE(DEC2HEX(240,2),DEC2HEX(I178,1),DEC2HEX(H178,5)))</f>
        <v>00B0</v>
      </c>
      <c r="K178" s="99">
        <v>0</v>
      </c>
      <c r="L178" s="99">
        <f>IF(I178=6,(LEN(K178)+1)*8,IF(I178=7,(1 + HEX2DEC(MID(K178,3,FIND(",",K178)-3)))*8,IF(I178=14,(LEN(K178)+1)*16,IF(I178=15,(1 + HEX2DEC(MID(K178,3,FIND(",",K178)-3)))*16,VLOOKUP(G178,m2mFormatLUT!$B$2:$D$17,3,FALSE)))))</f>
        <v>1</v>
      </c>
    </row>
    <row r="179" spans="1:14" x14ac:dyDescent="0.55000000000000004">
      <c r="A179" s="99" t="s">
        <v>668</v>
      </c>
      <c r="B179" s="105" t="s">
        <v>669</v>
      </c>
      <c r="C179" s="100" t="s">
        <v>265</v>
      </c>
      <c r="D179" s="106" t="s">
        <v>94</v>
      </c>
      <c r="E179" s="101" t="s">
        <v>1152</v>
      </c>
      <c r="F179" s="102">
        <v>0</v>
      </c>
      <c r="G179" s="100" t="s">
        <v>1153</v>
      </c>
      <c r="H179" s="99">
        <v>177</v>
      </c>
      <c r="I179" s="99">
        <f>VLOOKUP(G179,m2mFormatLUT!$B$2:$D$17,2,FALSE)</f>
        <v>0</v>
      </c>
      <c r="J179" s="99" t="str">
        <f>IF(E179=m2mFormatLUT!$A$2,CONCATENATE(DEC2HEX(I179,1),DEC2HEX(H179,3)),CONCATENATE(DEC2HEX(240,2),DEC2HEX(I179,1),DEC2HEX(H179,5)))</f>
        <v>00B1</v>
      </c>
      <c r="K179" s="99">
        <v>0</v>
      </c>
      <c r="L179" s="99">
        <f>IF(I179=6,(LEN(K179)+1)*8,IF(I179=7,(1 + HEX2DEC(MID(K179,3,FIND(",",K179)-3)))*8,IF(I179=14,(LEN(K179)+1)*16,IF(I179=15,(1 + HEX2DEC(MID(K179,3,FIND(",",K179)-3)))*16,VLOOKUP(G179,m2mFormatLUT!$B$2:$D$17,3,FALSE)))))</f>
        <v>1</v>
      </c>
    </row>
    <row r="180" spans="1:14" x14ac:dyDescent="0.55000000000000004">
      <c r="A180" s="99" t="s">
        <v>670</v>
      </c>
      <c r="B180" s="105" t="s">
        <v>671</v>
      </c>
      <c r="C180" s="100" t="s">
        <v>265</v>
      </c>
      <c r="D180" s="106" t="s">
        <v>94</v>
      </c>
      <c r="E180" s="101" t="s">
        <v>1152</v>
      </c>
      <c r="F180" s="102">
        <v>0</v>
      </c>
      <c r="G180" s="100" t="s">
        <v>1153</v>
      </c>
      <c r="H180" s="99">
        <v>178</v>
      </c>
      <c r="I180" s="99">
        <f>VLOOKUP(G180,m2mFormatLUT!$B$2:$D$17,2,FALSE)</f>
        <v>0</v>
      </c>
      <c r="J180" s="99" t="str">
        <f>IF(E180=m2mFormatLUT!$A$2,CONCATENATE(DEC2HEX(I180,1),DEC2HEX(H180,3)),CONCATENATE(DEC2HEX(240,2),DEC2HEX(I180,1),DEC2HEX(H180,5)))</f>
        <v>00B2</v>
      </c>
      <c r="K180" s="99">
        <v>0</v>
      </c>
      <c r="L180" s="99">
        <f>IF(I180=6,(LEN(K180)+1)*8,IF(I180=7,(1 + HEX2DEC(MID(K180,3,FIND(",",K180)-3)))*8,IF(I180=14,(LEN(K180)+1)*16,IF(I180=15,(1 + HEX2DEC(MID(K180,3,FIND(",",K180)-3)))*16,VLOOKUP(G180,m2mFormatLUT!$B$2:$D$17,3,FALSE)))))</f>
        <v>1</v>
      </c>
    </row>
    <row r="181" spans="1:14" x14ac:dyDescent="0.55000000000000004">
      <c r="A181" s="99" t="s">
        <v>672</v>
      </c>
      <c r="B181" s="105" t="s">
        <v>673</v>
      </c>
      <c r="C181" s="100" t="s">
        <v>265</v>
      </c>
      <c r="D181" s="106" t="s">
        <v>94</v>
      </c>
      <c r="E181" s="101" t="s">
        <v>1152</v>
      </c>
      <c r="F181" s="102">
        <v>0</v>
      </c>
      <c r="G181" s="100" t="s">
        <v>1153</v>
      </c>
      <c r="H181" s="99">
        <v>179</v>
      </c>
      <c r="I181" s="99">
        <f>VLOOKUP(G181,m2mFormatLUT!$B$2:$D$17,2,FALSE)</f>
        <v>0</v>
      </c>
      <c r="J181" s="99" t="str">
        <f>IF(E181=m2mFormatLUT!$A$2,CONCATENATE(DEC2HEX(I181,1),DEC2HEX(H181,3)),CONCATENATE(DEC2HEX(240,2),DEC2HEX(I181,1),DEC2HEX(H181,5)))</f>
        <v>00B3</v>
      </c>
      <c r="K181" s="99">
        <v>0</v>
      </c>
      <c r="L181" s="99">
        <f>IF(I181=6,(LEN(K181)+1)*8,IF(I181=7,(1 + HEX2DEC(MID(K181,3,FIND(",",K181)-3)))*8,IF(I181=14,(LEN(K181)+1)*16,IF(I181=15,(1 + HEX2DEC(MID(K181,3,FIND(",",K181)-3)))*16,VLOOKUP(G181,m2mFormatLUT!$B$2:$D$17,3,FALSE)))))</f>
        <v>1</v>
      </c>
    </row>
    <row r="182" spans="1:14" x14ac:dyDescent="0.55000000000000004">
      <c r="A182" s="99" t="s">
        <v>674</v>
      </c>
      <c r="B182" s="105" t="s">
        <v>675</v>
      </c>
      <c r="C182" s="100" t="s">
        <v>265</v>
      </c>
      <c r="D182" s="106" t="s">
        <v>94</v>
      </c>
      <c r="E182" s="101" t="s">
        <v>1152</v>
      </c>
      <c r="F182" s="102">
        <v>0</v>
      </c>
      <c r="G182" s="100" t="s">
        <v>1153</v>
      </c>
      <c r="H182" s="99">
        <v>180</v>
      </c>
      <c r="I182" s="99">
        <f>VLOOKUP(G182,m2mFormatLUT!$B$2:$D$17,2,FALSE)</f>
        <v>0</v>
      </c>
      <c r="J182" s="99" t="str">
        <f>IF(E182=m2mFormatLUT!$A$2,CONCATENATE(DEC2HEX(I182,1),DEC2HEX(H182,3)),CONCATENATE(DEC2HEX(240,2),DEC2HEX(I182,1),DEC2HEX(H182,5)))</f>
        <v>00B4</v>
      </c>
      <c r="K182" s="99">
        <v>0</v>
      </c>
      <c r="L182" s="99">
        <f>IF(I182=6,(LEN(K182)+1)*8,IF(I182=7,(1 + HEX2DEC(MID(K182,3,FIND(",",K182)-3)))*8,IF(I182=14,(LEN(K182)+1)*16,IF(I182=15,(1 + HEX2DEC(MID(K182,3,FIND(",",K182)-3)))*16,VLOOKUP(G182,m2mFormatLUT!$B$2:$D$17,3,FALSE)))))</f>
        <v>1</v>
      </c>
    </row>
    <row r="183" spans="1:14" x14ac:dyDescent="0.55000000000000004">
      <c r="A183" s="99" t="s">
        <v>676</v>
      </c>
      <c r="B183" s="105" t="s">
        <v>677</v>
      </c>
      <c r="C183" s="100" t="s">
        <v>265</v>
      </c>
      <c r="D183" s="106" t="s">
        <v>94</v>
      </c>
      <c r="E183" s="101" t="s">
        <v>1152</v>
      </c>
      <c r="F183" s="102">
        <v>0</v>
      </c>
      <c r="G183" s="100" t="s">
        <v>1153</v>
      </c>
      <c r="H183" s="99">
        <v>181</v>
      </c>
      <c r="I183" s="99">
        <f>VLOOKUP(G183,m2mFormatLUT!$B$2:$D$17,2,FALSE)</f>
        <v>0</v>
      </c>
      <c r="J183" s="99" t="str">
        <f>IF(E183=m2mFormatLUT!$A$2,CONCATENATE(DEC2HEX(I183,1),DEC2HEX(H183,3)),CONCATENATE(DEC2HEX(240,2),DEC2HEX(I183,1),DEC2HEX(H183,5)))</f>
        <v>00B5</v>
      </c>
      <c r="K183" s="99">
        <v>0</v>
      </c>
      <c r="L183" s="99">
        <f>IF(I183=6,(LEN(K183)+1)*8,IF(I183=7,(1 + HEX2DEC(MID(K183,3,FIND(",",K183)-3)))*8,IF(I183=14,(LEN(K183)+1)*16,IF(I183=15,(1 + HEX2DEC(MID(K183,3,FIND(",",K183)-3)))*16,VLOOKUP(G183,m2mFormatLUT!$B$2:$D$17,3,FALSE)))))</f>
        <v>1</v>
      </c>
    </row>
    <row r="184" spans="1:14" x14ac:dyDescent="0.55000000000000004">
      <c r="A184" s="107" t="s">
        <v>679</v>
      </c>
      <c r="B184" s="105" t="s">
        <v>680</v>
      </c>
      <c r="C184" s="100" t="s">
        <v>265</v>
      </c>
      <c r="D184" s="106" t="s">
        <v>91</v>
      </c>
      <c r="E184" s="101" t="s">
        <v>1152</v>
      </c>
      <c r="F184" s="102">
        <v>0</v>
      </c>
      <c r="G184" s="100" t="s">
        <v>1153</v>
      </c>
      <c r="H184" s="99">
        <v>182</v>
      </c>
      <c r="I184" s="99">
        <f>VLOOKUP(G184,m2mFormatLUT!$B$2:$D$17,2,FALSE)</f>
        <v>0</v>
      </c>
      <c r="J184" s="99" t="str">
        <f>IF(E184=m2mFormatLUT!$A$2,CONCATENATE(DEC2HEX(I184,1),DEC2HEX(H184,3)),CONCATENATE(DEC2HEX(240,2),DEC2HEX(I184,1),DEC2HEX(H184,5)))</f>
        <v>00B6</v>
      </c>
      <c r="K184" s="99">
        <v>0</v>
      </c>
      <c r="L184" s="99">
        <f>IF(I184=6,(LEN(K184)+1)*8,IF(I184=7,(1 + HEX2DEC(MID(K184,3,FIND(",",K184)-3)))*8,IF(I184=14,(LEN(K184)+1)*16,IF(I184=15,(1 + HEX2DEC(MID(K184,3,FIND(",",K184)-3)))*16,VLOOKUP(G184,m2mFormatLUT!$B$2:$D$17,3,FALSE)))))</f>
        <v>1</v>
      </c>
      <c r="N184" s="99" t="s">
        <v>1159</v>
      </c>
    </row>
    <row r="185" spans="1:14" x14ac:dyDescent="0.55000000000000004">
      <c r="A185" s="99" t="s">
        <v>681</v>
      </c>
      <c r="B185" s="105" t="s">
        <v>682</v>
      </c>
      <c r="C185" s="100" t="s">
        <v>265</v>
      </c>
      <c r="D185" s="106" t="s">
        <v>91</v>
      </c>
      <c r="E185" s="101" t="s">
        <v>1152</v>
      </c>
      <c r="F185" s="102">
        <v>0</v>
      </c>
      <c r="G185" s="100" t="s">
        <v>1153</v>
      </c>
      <c r="H185" s="99">
        <v>183</v>
      </c>
      <c r="I185" s="99">
        <f>VLOOKUP(G185,m2mFormatLUT!$B$2:$D$17,2,FALSE)</f>
        <v>0</v>
      </c>
      <c r="J185" s="99" t="str">
        <f>IF(E185=m2mFormatLUT!$A$2,CONCATENATE(DEC2HEX(I185,1),DEC2HEX(H185,3)),CONCATENATE(DEC2HEX(240,2),DEC2HEX(I185,1),DEC2HEX(H185,5)))</f>
        <v>00B7</v>
      </c>
      <c r="K185" s="99">
        <v>0</v>
      </c>
      <c r="L185" s="99">
        <f>IF(I185=6,(LEN(K185)+1)*8,IF(I185=7,(1 + HEX2DEC(MID(K185,3,FIND(",",K185)-3)))*8,IF(I185=14,(LEN(K185)+1)*16,IF(I185=15,(1 + HEX2DEC(MID(K185,3,FIND(",",K185)-3)))*16,VLOOKUP(G185,m2mFormatLUT!$B$2:$D$17,3,FALSE)))))</f>
        <v>1</v>
      </c>
    </row>
    <row r="186" spans="1:14" x14ac:dyDescent="0.55000000000000004">
      <c r="A186" s="99" t="s">
        <v>683</v>
      </c>
      <c r="B186" s="105" t="s">
        <v>127</v>
      </c>
      <c r="C186" s="100" t="s">
        <v>265</v>
      </c>
      <c r="D186" s="106" t="s">
        <v>91</v>
      </c>
      <c r="E186" s="101" t="s">
        <v>1152</v>
      </c>
      <c r="F186" s="102">
        <v>0</v>
      </c>
      <c r="G186" s="100" t="s">
        <v>1153</v>
      </c>
      <c r="H186" s="99">
        <v>184</v>
      </c>
      <c r="I186" s="99">
        <f>VLOOKUP(G186,m2mFormatLUT!$B$2:$D$17,2,FALSE)</f>
        <v>0</v>
      </c>
      <c r="J186" s="99" t="str">
        <f>IF(E186=m2mFormatLUT!$A$2,CONCATENATE(DEC2HEX(I186,1),DEC2HEX(H186,3)),CONCATENATE(DEC2HEX(240,2),DEC2HEX(I186,1),DEC2HEX(H186,5)))</f>
        <v>00B8</v>
      </c>
      <c r="K186" s="99">
        <v>0</v>
      </c>
      <c r="L186" s="99">
        <f>IF(I186=6,(LEN(K186)+1)*8,IF(I186=7,(1 + HEX2DEC(MID(K186,3,FIND(",",K186)-3)))*8,IF(I186=14,(LEN(K186)+1)*16,IF(I186=15,(1 + HEX2DEC(MID(K186,3,FIND(",",K186)-3)))*16,VLOOKUP(G186,m2mFormatLUT!$B$2:$D$17,3,FALSE)))))</f>
        <v>1</v>
      </c>
    </row>
    <row r="187" spans="1:14" x14ac:dyDescent="0.55000000000000004">
      <c r="A187" s="99" t="s">
        <v>684</v>
      </c>
      <c r="B187" s="105" t="s">
        <v>128</v>
      </c>
      <c r="C187" s="100" t="s">
        <v>265</v>
      </c>
      <c r="D187" s="106" t="s">
        <v>91</v>
      </c>
      <c r="E187" s="101" t="s">
        <v>1152</v>
      </c>
      <c r="F187" s="102">
        <v>0</v>
      </c>
      <c r="G187" s="100" t="s">
        <v>1153</v>
      </c>
      <c r="H187" s="99">
        <v>185</v>
      </c>
      <c r="I187" s="99">
        <f>VLOOKUP(G187,m2mFormatLUT!$B$2:$D$17,2,FALSE)</f>
        <v>0</v>
      </c>
      <c r="J187" s="99" t="str">
        <f>IF(E187=m2mFormatLUT!$A$2,CONCATENATE(DEC2HEX(I187,1),DEC2HEX(H187,3)),CONCATENATE(DEC2HEX(240,2),DEC2HEX(I187,1),DEC2HEX(H187,5)))</f>
        <v>00B9</v>
      </c>
      <c r="K187" s="99">
        <v>0</v>
      </c>
      <c r="L187" s="99">
        <f>IF(I187=6,(LEN(K187)+1)*8,IF(I187=7,(1 + HEX2DEC(MID(K187,3,FIND(",",K187)-3)))*8,IF(I187=14,(LEN(K187)+1)*16,IF(I187=15,(1 + HEX2DEC(MID(K187,3,FIND(",",K187)-3)))*16,VLOOKUP(G187,m2mFormatLUT!$B$2:$D$17,3,FALSE)))))</f>
        <v>1</v>
      </c>
    </row>
    <row r="188" spans="1:14" x14ac:dyDescent="0.55000000000000004">
      <c r="A188" s="99" t="s">
        <v>685</v>
      </c>
      <c r="B188" s="105" t="s">
        <v>129</v>
      </c>
      <c r="C188" s="100" t="s">
        <v>265</v>
      </c>
      <c r="D188" s="106" t="s">
        <v>91</v>
      </c>
      <c r="E188" s="101" t="s">
        <v>1152</v>
      </c>
      <c r="F188" s="102">
        <v>0</v>
      </c>
      <c r="G188" s="100" t="s">
        <v>1153</v>
      </c>
      <c r="H188" s="99">
        <v>186</v>
      </c>
      <c r="I188" s="99">
        <f>VLOOKUP(G188,m2mFormatLUT!$B$2:$D$17,2,FALSE)</f>
        <v>0</v>
      </c>
      <c r="J188" s="99" t="str">
        <f>IF(E188=m2mFormatLUT!$A$2,CONCATENATE(DEC2HEX(I188,1),DEC2HEX(H188,3)),CONCATENATE(DEC2HEX(240,2),DEC2HEX(I188,1),DEC2HEX(H188,5)))</f>
        <v>00BA</v>
      </c>
      <c r="K188" s="99">
        <v>0</v>
      </c>
      <c r="L188" s="99">
        <f>IF(I188=6,(LEN(K188)+1)*8,IF(I188=7,(1 + HEX2DEC(MID(K188,3,FIND(",",K188)-3)))*8,IF(I188=14,(LEN(K188)+1)*16,IF(I188=15,(1 + HEX2DEC(MID(K188,3,FIND(",",K188)-3)))*16,VLOOKUP(G188,m2mFormatLUT!$B$2:$D$17,3,FALSE)))))</f>
        <v>1</v>
      </c>
    </row>
    <row r="189" spans="1:14" x14ac:dyDescent="0.55000000000000004">
      <c r="A189" s="99" t="s">
        <v>686</v>
      </c>
      <c r="B189" s="105" t="s">
        <v>687</v>
      </c>
      <c r="C189" s="100" t="s">
        <v>265</v>
      </c>
      <c r="D189" s="106" t="s">
        <v>91</v>
      </c>
      <c r="E189" s="101" t="s">
        <v>1152</v>
      </c>
      <c r="F189" s="102">
        <v>0</v>
      </c>
      <c r="G189" s="100" t="s">
        <v>1153</v>
      </c>
      <c r="H189" s="99">
        <v>187</v>
      </c>
      <c r="I189" s="99">
        <f>VLOOKUP(G189,m2mFormatLUT!$B$2:$D$17,2,FALSE)</f>
        <v>0</v>
      </c>
      <c r="J189" s="99" t="str">
        <f>IF(E189=m2mFormatLUT!$A$2,CONCATENATE(DEC2HEX(I189,1),DEC2HEX(H189,3)),CONCATENATE(DEC2HEX(240,2),DEC2HEX(I189,1),DEC2HEX(H189,5)))</f>
        <v>00BB</v>
      </c>
      <c r="K189" s="99">
        <v>0</v>
      </c>
      <c r="L189" s="99">
        <f>IF(I189=6,(LEN(K189)+1)*8,IF(I189=7,(1 + HEX2DEC(MID(K189,3,FIND(",",K189)-3)))*8,IF(I189=14,(LEN(K189)+1)*16,IF(I189=15,(1 + HEX2DEC(MID(K189,3,FIND(",",K189)-3)))*16,VLOOKUP(G189,m2mFormatLUT!$B$2:$D$17,3,FALSE)))))</f>
        <v>1</v>
      </c>
    </row>
    <row r="190" spans="1:14" x14ac:dyDescent="0.55000000000000004">
      <c r="A190" s="99" t="s">
        <v>688</v>
      </c>
      <c r="B190" s="105" t="s">
        <v>689</v>
      </c>
      <c r="C190" s="100" t="s">
        <v>265</v>
      </c>
      <c r="D190" s="106" t="s">
        <v>91</v>
      </c>
      <c r="E190" s="101" t="s">
        <v>1152</v>
      </c>
      <c r="F190" s="102">
        <v>0</v>
      </c>
      <c r="G190" s="100" t="s">
        <v>1153</v>
      </c>
      <c r="H190" s="99">
        <v>188</v>
      </c>
      <c r="I190" s="99">
        <f>VLOOKUP(G190,m2mFormatLUT!$B$2:$D$17,2,FALSE)</f>
        <v>0</v>
      </c>
      <c r="J190" s="99" t="str">
        <f>IF(E190=m2mFormatLUT!$A$2,CONCATENATE(DEC2HEX(I190,1),DEC2HEX(H190,3)),CONCATENATE(DEC2HEX(240,2),DEC2HEX(I190,1),DEC2HEX(H190,5)))</f>
        <v>00BC</v>
      </c>
      <c r="K190" s="99">
        <v>0</v>
      </c>
      <c r="L190" s="99">
        <f>IF(I190=6,(LEN(K190)+1)*8,IF(I190=7,(1 + HEX2DEC(MID(K190,3,FIND(",",K190)-3)))*8,IF(I190=14,(LEN(K190)+1)*16,IF(I190=15,(1 + HEX2DEC(MID(K190,3,FIND(",",K190)-3)))*16,VLOOKUP(G190,m2mFormatLUT!$B$2:$D$17,3,FALSE)))))</f>
        <v>1</v>
      </c>
    </row>
    <row r="191" spans="1:14" x14ac:dyDescent="0.55000000000000004">
      <c r="A191" s="99" t="s">
        <v>690</v>
      </c>
      <c r="B191" s="105" t="s">
        <v>691</v>
      </c>
      <c r="C191" s="100" t="s">
        <v>265</v>
      </c>
      <c r="D191" s="106" t="s">
        <v>91</v>
      </c>
      <c r="E191" s="101" t="s">
        <v>1152</v>
      </c>
      <c r="F191" s="102">
        <v>0</v>
      </c>
      <c r="G191" s="100" t="s">
        <v>1153</v>
      </c>
      <c r="H191" s="99">
        <v>189</v>
      </c>
      <c r="I191" s="99">
        <f>VLOOKUP(G191,m2mFormatLUT!$B$2:$D$17,2,FALSE)</f>
        <v>0</v>
      </c>
      <c r="J191" s="99" t="str">
        <f>IF(E191=m2mFormatLUT!$A$2,CONCATENATE(DEC2HEX(I191,1),DEC2HEX(H191,3)),CONCATENATE(DEC2HEX(240,2),DEC2HEX(I191,1),DEC2HEX(H191,5)))</f>
        <v>00BD</v>
      </c>
      <c r="K191" s="99">
        <v>0</v>
      </c>
      <c r="L191" s="99">
        <f>IF(I191=6,(LEN(K191)+1)*8,IF(I191=7,(1 + HEX2DEC(MID(K191,3,FIND(",",K191)-3)))*8,IF(I191=14,(LEN(K191)+1)*16,IF(I191=15,(1 + HEX2DEC(MID(K191,3,FIND(",",K191)-3)))*16,VLOOKUP(G191,m2mFormatLUT!$B$2:$D$17,3,FALSE)))))</f>
        <v>1</v>
      </c>
    </row>
    <row r="192" spans="1:14" x14ac:dyDescent="0.55000000000000004">
      <c r="A192" s="99" t="s">
        <v>692</v>
      </c>
      <c r="B192" s="105" t="s">
        <v>693</v>
      </c>
      <c r="C192" s="100" t="s">
        <v>265</v>
      </c>
      <c r="D192" s="106" t="s">
        <v>91</v>
      </c>
      <c r="E192" s="101" t="s">
        <v>1152</v>
      </c>
      <c r="F192" s="102">
        <v>0</v>
      </c>
      <c r="G192" s="100" t="s">
        <v>1153</v>
      </c>
      <c r="H192" s="99">
        <v>190</v>
      </c>
      <c r="I192" s="99">
        <f>VLOOKUP(G192,m2mFormatLUT!$B$2:$D$17,2,FALSE)</f>
        <v>0</v>
      </c>
      <c r="J192" s="99" t="str">
        <f>IF(E192=m2mFormatLUT!$A$2,CONCATENATE(DEC2HEX(I192,1),DEC2HEX(H192,3)),CONCATENATE(DEC2HEX(240,2),DEC2HEX(I192,1),DEC2HEX(H192,5)))</f>
        <v>00BE</v>
      </c>
      <c r="K192" s="99">
        <v>0</v>
      </c>
      <c r="L192" s="99">
        <f>IF(I192=6,(LEN(K192)+1)*8,IF(I192=7,(1 + HEX2DEC(MID(K192,3,FIND(",",K192)-3)))*8,IF(I192=14,(LEN(K192)+1)*16,IF(I192=15,(1 + HEX2DEC(MID(K192,3,FIND(",",K192)-3)))*16,VLOOKUP(G192,m2mFormatLUT!$B$2:$D$17,3,FALSE)))))</f>
        <v>1</v>
      </c>
    </row>
    <row r="193" spans="1:14" x14ac:dyDescent="0.55000000000000004">
      <c r="A193" s="99" t="s">
        <v>694</v>
      </c>
      <c r="B193" s="105" t="s">
        <v>130</v>
      </c>
      <c r="C193" s="100" t="s">
        <v>265</v>
      </c>
      <c r="D193" s="106" t="s">
        <v>91</v>
      </c>
      <c r="E193" s="101" t="s">
        <v>1152</v>
      </c>
      <c r="F193" s="102">
        <v>0</v>
      </c>
      <c r="G193" s="100" t="s">
        <v>1153</v>
      </c>
      <c r="H193" s="99">
        <v>191</v>
      </c>
      <c r="I193" s="99">
        <f>VLOOKUP(G193,m2mFormatLUT!$B$2:$D$17,2,FALSE)</f>
        <v>0</v>
      </c>
      <c r="J193" s="99" t="str">
        <f>IF(E193=m2mFormatLUT!$A$2,CONCATENATE(DEC2HEX(I193,1),DEC2HEX(H193,3)),CONCATENATE(DEC2HEX(240,2),DEC2HEX(I193,1),DEC2HEX(H193,5)))</f>
        <v>00BF</v>
      </c>
      <c r="K193" s="99">
        <v>0</v>
      </c>
      <c r="L193" s="99">
        <f>IF(I193=6,(LEN(K193)+1)*8,IF(I193=7,(1 + HEX2DEC(MID(K193,3,FIND(",",K193)-3)))*8,IF(I193=14,(LEN(K193)+1)*16,IF(I193=15,(1 + HEX2DEC(MID(K193,3,FIND(",",K193)-3)))*16,VLOOKUP(G193,m2mFormatLUT!$B$2:$D$17,3,FALSE)))))</f>
        <v>1</v>
      </c>
    </row>
    <row r="194" spans="1:14" x14ac:dyDescent="0.55000000000000004">
      <c r="A194" s="107" t="s">
        <v>695</v>
      </c>
      <c r="B194" s="105" t="s">
        <v>696</v>
      </c>
      <c r="C194" s="100" t="s">
        <v>265</v>
      </c>
      <c r="D194" s="106" t="s">
        <v>91</v>
      </c>
      <c r="E194" s="101" t="s">
        <v>1152</v>
      </c>
      <c r="F194" s="102">
        <v>0</v>
      </c>
      <c r="G194" s="100" t="s">
        <v>1153</v>
      </c>
      <c r="H194" s="99">
        <v>192</v>
      </c>
      <c r="I194" s="99">
        <f>VLOOKUP(G194,m2mFormatLUT!$B$2:$D$17,2,FALSE)</f>
        <v>0</v>
      </c>
      <c r="J194" s="99" t="str">
        <f>IF(E194=m2mFormatLUT!$A$2,CONCATENATE(DEC2HEX(I194,1),DEC2HEX(H194,3)),CONCATENATE(DEC2HEX(240,2),DEC2HEX(I194,1),DEC2HEX(H194,5)))</f>
        <v>00C0</v>
      </c>
      <c r="K194" s="99">
        <v>0</v>
      </c>
      <c r="L194" s="99">
        <f>IF(I194=6,(LEN(K194)+1)*8,IF(I194=7,(1 + HEX2DEC(MID(K194,3,FIND(",",K194)-3)))*8,IF(I194=14,(LEN(K194)+1)*16,IF(I194=15,(1 + HEX2DEC(MID(K194,3,FIND(",",K194)-3)))*16,VLOOKUP(G194,m2mFormatLUT!$B$2:$D$17,3,FALSE)))))</f>
        <v>1</v>
      </c>
      <c r="N194" s="99" t="s">
        <v>1155</v>
      </c>
    </row>
    <row r="195" spans="1:14" x14ac:dyDescent="0.55000000000000004">
      <c r="A195" s="107" t="s">
        <v>697</v>
      </c>
      <c r="B195" s="105" t="s">
        <v>698</v>
      </c>
      <c r="C195" s="100" t="s">
        <v>265</v>
      </c>
      <c r="D195" s="106" t="s">
        <v>91</v>
      </c>
      <c r="E195" s="101" t="s">
        <v>1152</v>
      </c>
      <c r="F195" s="102">
        <v>0</v>
      </c>
      <c r="G195" s="100" t="s">
        <v>1153</v>
      </c>
      <c r="H195" s="99">
        <v>193</v>
      </c>
      <c r="I195" s="99">
        <f>VLOOKUP(G195,m2mFormatLUT!$B$2:$D$17,2,FALSE)</f>
        <v>0</v>
      </c>
      <c r="J195" s="99" t="str">
        <f>IF(E195=m2mFormatLUT!$A$2,CONCATENATE(DEC2HEX(I195,1),DEC2HEX(H195,3)),CONCATENATE(DEC2HEX(240,2),DEC2HEX(I195,1),DEC2HEX(H195,5)))</f>
        <v>00C1</v>
      </c>
      <c r="K195" s="99">
        <v>0</v>
      </c>
      <c r="L195" s="99">
        <f>IF(I195=6,(LEN(K195)+1)*8,IF(I195=7,(1 + HEX2DEC(MID(K195,3,FIND(",",K195)-3)))*8,IF(I195=14,(LEN(K195)+1)*16,IF(I195=15,(1 + HEX2DEC(MID(K195,3,FIND(",",K195)-3)))*16,VLOOKUP(G195,m2mFormatLUT!$B$2:$D$17,3,FALSE)))))</f>
        <v>1</v>
      </c>
    </row>
    <row r="196" spans="1:14" x14ac:dyDescent="0.55000000000000004">
      <c r="A196" s="104" t="s">
        <v>699</v>
      </c>
      <c r="B196" s="105" t="s">
        <v>700</v>
      </c>
      <c r="C196" s="100" t="s">
        <v>265</v>
      </c>
      <c r="D196" s="106" t="s">
        <v>91</v>
      </c>
      <c r="E196" s="101" t="s">
        <v>1152</v>
      </c>
      <c r="F196" s="102">
        <v>0</v>
      </c>
      <c r="G196" s="100" t="s">
        <v>1153</v>
      </c>
      <c r="H196" s="99">
        <v>194</v>
      </c>
      <c r="I196" s="99">
        <f>VLOOKUP(G196,m2mFormatLUT!$B$2:$D$17,2,FALSE)</f>
        <v>0</v>
      </c>
      <c r="J196" s="99" t="str">
        <f>IF(E196=m2mFormatLUT!$A$2,CONCATENATE(DEC2HEX(I196,1),DEC2HEX(H196,3)),CONCATENATE(DEC2HEX(240,2),DEC2HEX(I196,1),DEC2HEX(H196,5)))</f>
        <v>00C2</v>
      </c>
      <c r="K196" s="99">
        <v>0</v>
      </c>
      <c r="L196" s="99">
        <f>IF(I196=6,(LEN(K196)+1)*8,IF(I196=7,(1 + HEX2DEC(MID(K196,3,FIND(",",K196)-3)))*8,IF(I196=14,(LEN(K196)+1)*16,IF(I196=15,(1 + HEX2DEC(MID(K196,3,FIND(",",K196)-3)))*16,VLOOKUP(G196,m2mFormatLUT!$B$2:$D$17,3,FALSE)))))</f>
        <v>1</v>
      </c>
      <c r="N196" s="99" t="s">
        <v>1155</v>
      </c>
    </row>
    <row r="197" spans="1:14" x14ac:dyDescent="0.55000000000000004">
      <c r="A197" s="104" t="s">
        <v>701</v>
      </c>
      <c r="B197" s="105" t="s">
        <v>702</v>
      </c>
      <c r="C197" s="100" t="s">
        <v>265</v>
      </c>
      <c r="D197" s="106" t="s">
        <v>91</v>
      </c>
      <c r="E197" s="101" t="s">
        <v>1152</v>
      </c>
      <c r="F197" s="102">
        <v>0</v>
      </c>
      <c r="G197" s="100" t="s">
        <v>1153</v>
      </c>
      <c r="H197" s="99">
        <v>195</v>
      </c>
      <c r="I197" s="99">
        <f>VLOOKUP(G197,m2mFormatLUT!$B$2:$D$17,2,FALSE)</f>
        <v>0</v>
      </c>
      <c r="J197" s="99" t="str">
        <f>IF(E197=m2mFormatLUT!$A$2,CONCATENATE(DEC2HEX(I197,1),DEC2HEX(H197,3)),CONCATENATE(DEC2HEX(240,2),DEC2HEX(I197,1),DEC2HEX(H197,5)))</f>
        <v>00C3</v>
      </c>
      <c r="K197" s="99">
        <v>0</v>
      </c>
      <c r="L197" s="99">
        <f>IF(I197=6,(LEN(K197)+1)*8,IF(I197=7,(1 + HEX2DEC(MID(K197,3,FIND(",",K197)-3)))*8,IF(I197=14,(LEN(K197)+1)*16,IF(I197=15,(1 + HEX2DEC(MID(K197,3,FIND(",",K197)-3)))*16,VLOOKUP(G197,m2mFormatLUT!$B$2:$D$17,3,FALSE)))))</f>
        <v>1</v>
      </c>
    </row>
    <row r="198" spans="1:14" x14ac:dyDescent="0.55000000000000004">
      <c r="A198" s="99" t="s">
        <v>703</v>
      </c>
      <c r="B198" s="105" t="s">
        <v>704</v>
      </c>
      <c r="C198" s="100" t="s">
        <v>265</v>
      </c>
      <c r="D198" s="106" t="s">
        <v>91</v>
      </c>
      <c r="E198" s="101" t="s">
        <v>1152</v>
      </c>
      <c r="F198" s="102">
        <v>0</v>
      </c>
      <c r="G198" s="100" t="s">
        <v>1153</v>
      </c>
      <c r="H198" s="99">
        <v>196</v>
      </c>
      <c r="I198" s="99">
        <f>VLOOKUP(G198,m2mFormatLUT!$B$2:$D$17,2,FALSE)</f>
        <v>0</v>
      </c>
      <c r="J198" s="99" t="str">
        <f>IF(E198=m2mFormatLUT!$A$2,CONCATENATE(DEC2HEX(I198,1),DEC2HEX(H198,3)),CONCATENATE(DEC2HEX(240,2),DEC2HEX(I198,1),DEC2HEX(H198,5)))</f>
        <v>00C4</v>
      </c>
      <c r="K198" s="99">
        <v>0</v>
      </c>
      <c r="L198" s="99">
        <f>IF(I198=6,(LEN(K198)+1)*8,IF(I198=7,(1 + HEX2DEC(MID(K198,3,FIND(",",K198)-3)))*8,IF(I198=14,(LEN(K198)+1)*16,IF(I198=15,(1 + HEX2DEC(MID(K198,3,FIND(",",K198)-3)))*16,VLOOKUP(G198,m2mFormatLUT!$B$2:$D$17,3,FALSE)))))</f>
        <v>1</v>
      </c>
    </row>
    <row r="199" spans="1:14" x14ac:dyDescent="0.55000000000000004">
      <c r="A199" s="107" t="s">
        <v>705</v>
      </c>
      <c r="B199" s="105" t="s">
        <v>706</v>
      </c>
      <c r="C199" s="100" t="s">
        <v>265</v>
      </c>
      <c r="D199" s="106" t="s">
        <v>91</v>
      </c>
      <c r="E199" s="101" t="s">
        <v>1152</v>
      </c>
      <c r="F199" s="102">
        <v>0</v>
      </c>
      <c r="G199" s="100" t="s">
        <v>1153</v>
      </c>
      <c r="H199" s="99">
        <v>197</v>
      </c>
      <c r="I199" s="99">
        <f>VLOOKUP(G199,m2mFormatLUT!$B$2:$D$17,2,FALSE)</f>
        <v>0</v>
      </c>
      <c r="J199" s="99" t="str">
        <f>IF(E199=m2mFormatLUT!$A$2,CONCATENATE(DEC2HEX(I199,1),DEC2HEX(H199,3)),CONCATENATE(DEC2HEX(240,2),DEC2HEX(I199,1),DEC2HEX(H199,5)))</f>
        <v>00C5</v>
      </c>
      <c r="K199" s="99">
        <v>0</v>
      </c>
      <c r="L199" s="99">
        <f>IF(I199=6,(LEN(K199)+1)*8,IF(I199=7,(1 + HEX2DEC(MID(K199,3,FIND(",",K199)-3)))*8,IF(I199=14,(LEN(K199)+1)*16,IF(I199=15,(1 + HEX2DEC(MID(K199,3,FIND(",",K199)-3)))*16,VLOOKUP(G199,m2mFormatLUT!$B$2:$D$17,3,FALSE)))))</f>
        <v>1</v>
      </c>
      <c r="N199" s="99" t="s">
        <v>1155</v>
      </c>
    </row>
    <row r="200" spans="1:14" x14ac:dyDescent="0.55000000000000004">
      <c r="A200" s="107" t="s">
        <v>707</v>
      </c>
      <c r="B200" s="105" t="s">
        <v>708</v>
      </c>
      <c r="C200" s="100" t="s">
        <v>265</v>
      </c>
      <c r="D200" s="106" t="s">
        <v>91</v>
      </c>
      <c r="E200" s="101" t="s">
        <v>1152</v>
      </c>
      <c r="F200" s="102">
        <v>0</v>
      </c>
      <c r="G200" s="100" t="s">
        <v>1153</v>
      </c>
      <c r="H200" s="99">
        <v>198</v>
      </c>
      <c r="I200" s="99">
        <f>VLOOKUP(G200,m2mFormatLUT!$B$2:$D$17,2,FALSE)</f>
        <v>0</v>
      </c>
      <c r="J200" s="99" t="str">
        <f>IF(E200=m2mFormatLUT!$A$2,CONCATENATE(DEC2HEX(I200,1),DEC2HEX(H200,3)),CONCATENATE(DEC2HEX(240,2),DEC2HEX(I200,1),DEC2HEX(H200,5)))</f>
        <v>00C6</v>
      </c>
      <c r="K200" s="99">
        <v>0</v>
      </c>
      <c r="L200" s="99">
        <f>IF(I200=6,(LEN(K200)+1)*8,IF(I200=7,(1 + HEX2DEC(MID(K200,3,FIND(",",K200)-3)))*8,IF(I200=14,(LEN(K200)+1)*16,IF(I200=15,(1 + HEX2DEC(MID(K200,3,FIND(",",K200)-3)))*16,VLOOKUP(G200,m2mFormatLUT!$B$2:$D$17,3,FALSE)))))</f>
        <v>1</v>
      </c>
    </row>
    <row r="201" spans="1:14" x14ac:dyDescent="0.55000000000000004">
      <c r="A201" s="104" t="s">
        <v>709</v>
      </c>
      <c r="B201" s="105" t="s">
        <v>710</v>
      </c>
      <c r="C201" s="100" t="s">
        <v>265</v>
      </c>
      <c r="D201" s="106" t="s">
        <v>91</v>
      </c>
      <c r="E201" s="101" t="s">
        <v>1152</v>
      </c>
      <c r="F201" s="102">
        <v>0</v>
      </c>
      <c r="G201" s="100" t="s">
        <v>1153</v>
      </c>
      <c r="H201" s="99">
        <v>199</v>
      </c>
      <c r="I201" s="99">
        <f>VLOOKUP(G201,m2mFormatLUT!$B$2:$D$17,2,FALSE)</f>
        <v>0</v>
      </c>
      <c r="J201" s="99" t="str">
        <f>IF(E201=m2mFormatLUT!$A$2,CONCATENATE(DEC2HEX(I201,1),DEC2HEX(H201,3)),CONCATENATE(DEC2HEX(240,2),DEC2HEX(I201,1),DEC2HEX(H201,5)))</f>
        <v>00C7</v>
      </c>
      <c r="K201" s="99">
        <v>0</v>
      </c>
      <c r="L201" s="99">
        <f>IF(I201=6,(LEN(K201)+1)*8,IF(I201=7,(1 + HEX2DEC(MID(K201,3,FIND(",",K201)-3)))*8,IF(I201=14,(LEN(K201)+1)*16,IF(I201=15,(1 + HEX2DEC(MID(K201,3,FIND(",",K201)-3)))*16,VLOOKUP(G201,m2mFormatLUT!$B$2:$D$17,3,FALSE)))))</f>
        <v>1</v>
      </c>
      <c r="N201" s="99" t="s">
        <v>1155</v>
      </c>
    </row>
    <row r="202" spans="1:14" x14ac:dyDescent="0.55000000000000004">
      <c r="A202" s="104" t="s">
        <v>711</v>
      </c>
      <c r="B202" s="105" t="s">
        <v>712</v>
      </c>
      <c r="C202" s="100" t="s">
        <v>265</v>
      </c>
      <c r="D202" s="106" t="s">
        <v>91</v>
      </c>
      <c r="E202" s="101" t="s">
        <v>1152</v>
      </c>
      <c r="F202" s="102">
        <v>0</v>
      </c>
      <c r="G202" s="100" t="s">
        <v>1153</v>
      </c>
      <c r="H202" s="99">
        <v>200</v>
      </c>
      <c r="I202" s="99">
        <f>VLOOKUP(G202,m2mFormatLUT!$B$2:$D$17,2,FALSE)</f>
        <v>0</v>
      </c>
      <c r="J202" s="99" t="str">
        <f>IF(E202=m2mFormatLUT!$A$2,CONCATENATE(DEC2HEX(I202,1),DEC2HEX(H202,3)),CONCATENATE(DEC2HEX(240,2),DEC2HEX(I202,1),DEC2HEX(H202,5)))</f>
        <v>00C8</v>
      </c>
      <c r="K202" s="99">
        <v>0</v>
      </c>
      <c r="L202" s="99">
        <f>IF(I202=6,(LEN(K202)+1)*8,IF(I202=7,(1 + HEX2DEC(MID(K202,3,FIND(",",K202)-3)))*8,IF(I202=14,(LEN(K202)+1)*16,IF(I202=15,(1 + HEX2DEC(MID(K202,3,FIND(",",K202)-3)))*16,VLOOKUP(G202,m2mFormatLUT!$B$2:$D$17,3,FALSE)))))</f>
        <v>1</v>
      </c>
    </row>
    <row r="203" spans="1:14" x14ac:dyDescent="0.55000000000000004">
      <c r="A203" s="99" t="s">
        <v>713</v>
      </c>
      <c r="B203" s="105" t="s">
        <v>714</v>
      </c>
      <c r="C203" s="100" t="s">
        <v>265</v>
      </c>
      <c r="D203" s="106" t="s">
        <v>91</v>
      </c>
      <c r="E203" s="101" t="s">
        <v>1152</v>
      </c>
      <c r="F203" s="102">
        <v>0</v>
      </c>
      <c r="G203" s="100" t="s">
        <v>1153</v>
      </c>
      <c r="H203" s="99">
        <v>201</v>
      </c>
      <c r="I203" s="99">
        <f>VLOOKUP(G203,m2mFormatLUT!$B$2:$D$17,2,FALSE)</f>
        <v>0</v>
      </c>
      <c r="J203" s="99" t="str">
        <f>IF(E203=m2mFormatLUT!$A$2,CONCATENATE(DEC2HEX(I203,1),DEC2HEX(H203,3)),CONCATENATE(DEC2HEX(240,2),DEC2HEX(I203,1),DEC2HEX(H203,5)))</f>
        <v>00C9</v>
      </c>
      <c r="K203" s="99">
        <v>0</v>
      </c>
      <c r="L203" s="99">
        <f>IF(I203=6,(LEN(K203)+1)*8,IF(I203=7,(1 + HEX2DEC(MID(K203,3,FIND(",",K203)-3)))*8,IF(I203=14,(LEN(K203)+1)*16,IF(I203=15,(1 + HEX2DEC(MID(K203,3,FIND(",",K203)-3)))*16,VLOOKUP(G203,m2mFormatLUT!$B$2:$D$17,3,FALSE)))))</f>
        <v>1</v>
      </c>
    </row>
    <row r="204" spans="1:14" x14ac:dyDescent="0.55000000000000004">
      <c r="A204" s="107" t="s">
        <v>715</v>
      </c>
      <c r="B204" s="105" t="s">
        <v>716</v>
      </c>
      <c r="C204" s="100" t="s">
        <v>265</v>
      </c>
      <c r="D204" s="106" t="s">
        <v>91</v>
      </c>
      <c r="E204" s="101" t="s">
        <v>1152</v>
      </c>
      <c r="F204" s="102">
        <v>0</v>
      </c>
      <c r="G204" s="100" t="s">
        <v>1153</v>
      </c>
      <c r="H204" s="99">
        <v>202</v>
      </c>
      <c r="I204" s="99">
        <f>VLOOKUP(G204,m2mFormatLUT!$B$2:$D$17,2,FALSE)</f>
        <v>0</v>
      </c>
      <c r="J204" s="99" t="str">
        <f>IF(E204=m2mFormatLUT!$A$2,CONCATENATE(DEC2HEX(I204,1),DEC2HEX(H204,3)),CONCATENATE(DEC2HEX(240,2),DEC2HEX(I204,1),DEC2HEX(H204,5)))</f>
        <v>00CA</v>
      </c>
      <c r="K204" s="99">
        <v>0</v>
      </c>
      <c r="L204" s="99">
        <f>IF(I204=6,(LEN(K204)+1)*8,IF(I204=7,(1 + HEX2DEC(MID(K204,3,FIND(",",K204)-3)))*8,IF(I204=14,(LEN(K204)+1)*16,IF(I204=15,(1 + HEX2DEC(MID(K204,3,FIND(",",K204)-3)))*16,VLOOKUP(G204,m2mFormatLUT!$B$2:$D$17,3,FALSE)))))</f>
        <v>1</v>
      </c>
      <c r="N204" s="99" t="s">
        <v>1155</v>
      </c>
    </row>
    <row r="205" spans="1:14" x14ac:dyDescent="0.55000000000000004">
      <c r="A205" s="107" t="s">
        <v>717</v>
      </c>
      <c r="B205" s="105" t="s">
        <v>718</v>
      </c>
      <c r="C205" s="100" t="s">
        <v>265</v>
      </c>
      <c r="D205" s="106" t="s">
        <v>91</v>
      </c>
      <c r="E205" s="101" t="s">
        <v>1152</v>
      </c>
      <c r="F205" s="102">
        <v>0</v>
      </c>
      <c r="G205" s="100" t="s">
        <v>1153</v>
      </c>
      <c r="H205" s="99">
        <v>203</v>
      </c>
      <c r="I205" s="99">
        <f>VLOOKUP(G205,m2mFormatLUT!$B$2:$D$17,2,FALSE)</f>
        <v>0</v>
      </c>
      <c r="J205" s="99" t="str">
        <f>IF(E205=m2mFormatLUT!$A$2,CONCATENATE(DEC2HEX(I205,1),DEC2HEX(H205,3)),CONCATENATE(DEC2HEX(240,2),DEC2HEX(I205,1),DEC2HEX(H205,5)))</f>
        <v>00CB</v>
      </c>
      <c r="K205" s="99">
        <v>0</v>
      </c>
      <c r="L205" s="99">
        <f>IF(I205=6,(LEN(K205)+1)*8,IF(I205=7,(1 + HEX2DEC(MID(K205,3,FIND(",",K205)-3)))*8,IF(I205=14,(LEN(K205)+1)*16,IF(I205=15,(1 + HEX2DEC(MID(K205,3,FIND(",",K205)-3)))*16,VLOOKUP(G205,m2mFormatLUT!$B$2:$D$17,3,FALSE)))))</f>
        <v>1</v>
      </c>
    </row>
    <row r="206" spans="1:14" x14ac:dyDescent="0.55000000000000004">
      <c r="A206" s="104" t="s">
        <v>719</v>
      </c>
      <c r="B206" s="105" t="s">
        <v>720</v>
      </c>
      <c r="C206" s="100" t="s">
        <v>265</v>
      </c>
      <c r="D206" s="106" t="s">
        <v>91</v>
      </c>
      <c r="E206" s="101" t="s">
        <v>1152</v>
      </c>
      <c r="F206" s="102">
        <v>0</v>
      </c>
      <c r="G206" s="100" t="s">
        <v>1153</v>
      </c>
      <c r="H206" s="99">
        <v>204</v>
      </c>
      <c r="I206" s="99">
        <f>VLOOKUP(G206,m2mFormatLUT!$B$2:$D$17,2,FALSE)</f>
        <v>0</v>
      </c>
      <c r="J206" s="99" t="str">
        <f>IF(E206=m2mFormatLUT!$A$2,CONCATENATE(DEC2HEX(I206,1),DEC2HEX(H206,3)),CONCATENATE(DEC2HEX(240,2),DEC2HEX(I206,1),DEC2HEX(H206,5)))</f>
        <v>00CC</v>
      </c>
      <c r="K206" s="99">
        <v>0</v>
      </c>
      <c r="L206" s="99">
        <f>IF(I206=6,(LEN(K206)+1)*8,IF(I206=7,(1 + HEX2DEC(MID(K206,3,FIND(",",K206)-3)))*8,IF(I206=14,(LEN(K206)+1)*16,IF(I206=15,(1 + HEX2DEC(MID(K206,3,FIND(",",K206)-3)))*16,VLOOKUP(G206,m2mFormatLUT!$B$2:$D$17,3,FALSE)))))</f>
        <v>1</v>
      </c>
      <c r="N206" s="99" t="s">
        <v>1155</v>
      </c>
    </row>
    <row r="207" spans="1:14" x14ac:dyDescent="0.55000000000000004">
      <c r="A207" s="104" t="s">
        <v>721</v>
      </c>
      <c r="B207" s="105" t="s">
        <v>722</v>
      </c>
      <c r="C207" s="100" t="s">
        <v>265</v>
      </c>
      <c r="D207" s="106" t="s">
        <v>91</v>
      </c>
      <c r="E207" s="101" t="s">
        <v>1152</v>
      </c>
      <c r="F207" s="102">
        <v>0</v>
      </c>
      <c r="G207" s="100" t="s">
        <v>1153</v>
      </c>
      <c r="H207" s="99">
        <v>205</v>
      </c>
      <c r="I207" s="99">
        <f>VLOOKUP(G207,m2mFormatLUT!$B$2:$D$17,2,FALSE)</f>
        <v>0</v>
      </c>
      <c r="J207" s="99" t="str">
        <f>IF(E207=m2mFormatLUT!$A$2,CONCATENATE(DEC2HEX(I207,1),DEC2HEX(H207,3)),CONCATENATE(DEC2HEX(240,2),DEC2HEX(I207,1),DEC2HEX(H207,5)))</f>
        <v>00CD</v>
      </c>
      <c r="K207" s="99">
        <v>0</v>
      </c>
      <c r="L207" s="99">
        <f>IF(I207=6,(LEN(K207)+1)*8,IF(I207=7,(1 + HEX2DEC(MID(K207,3,FIND(",",K207)-3)))*8,IF(I207=14,(LEN(K207)+1)*16,IF(I207=15,(1 + HEX2DEC(MID(K207,3,FIND(",",K207)-3)))*16,VLOOKUP(G207,m2mFormatLUT!$B$2:$D$17,3,FALSE)))))</f>
        <v>1</v>
      </c>
    </row>
    <row r="208" spans="1:14" x14ac:dyDescent="0.55000000000000004">
      <c r="A208" s="99" t="s">
        <v>723</v>
      </c>
      <c r="B208" s="105" t="s">
        <v>724</v>
      </c>
      <c r="C208" s="100" t="s">
        <v>265</v>
      </c>
      <c r="D208" s="106" t="s">
        <v>91</v>
      </c>
      <c r="E208" s="101" t="s">
        <v>1152</v>
      </c>
      <c r="F208" s="102">
        <v>0</v>
      </c>
      <c r="G208" s="100" t="s">
        <v>1153</v>
      </c>
      <c r="H208" s="99">
        <v>206</v>
      </c>
      <c r="I208" s="99">
        <f>VLOOKUP(G208,m2mFormatLUT!$B$2:$D$17,2,FALSE)</f>
        <v>0</v>
      </c>
      <c r="J208" s="99" t="str">
        <f>IF(E208=m2mFormatLUT!$A$2,CONCATENATE(DEC2HEX(I208,1),DEC2HEX(H208,3)),CONCATENATE(DEC2HEX(240,2),DEC2HEX(I208,1),DEC2HEX(H208,5)))</f>
        <v>00CE</v>
      </c>
      <c r="K208" s="99">
        <v>0</v>
      </c>
      <c r="L208" s="99">
        <f>IF(I208=6,(LEN(K208)+1)*8,IF(I208=7,(1 + HEX2DEC(MID(K208,3,FIND(",",K208)-3)))*8,IF(I208=14,(LEN(K208)+1)*16,IF(I208=15,(1 + HEX2DEC(MID(K208,3,FIND(",",K208)-3)))*16,VLOOKUP(G208,m2mFormatLUT!$B$2:$D$17,3,FALSE)))))</f>
        <v>1</v>
      </c>
    </row>
    <row r="209" spans="1:14" x14ac:dyDescent="0.55000000000000004">
      <c r="A209" s="107" t="s">
        <v>725</v>
      </c>
      <c r="B209" s="105" t="s">
        <v>726</v>
      </c>
      <c r="C209" s="100" t="s">
        <v>265</v>
      </c>
      <c r="D209" s="106" t="s">
        <v>91</v>
      </c>
      <c r="E209" s="101" t="s">
        <v>1152</v>
      </c>
      <c r="F209" s="102">
        <v>0</v>
      </c>
      <c r="G209" s="100" t="s">
        <v>1153</v>
      </c>
      <c r="H209" s="99">
        <v>207</v>
      </c>
      <c r="I209" s="99">
        <f>VLOOKUP(G209,m2mFormatLUT!$B$2:$D$17,2,FALSE)</f>
        <v>0</v>
      </c>
      <c r="J209" s="99" t="str">
        <f>IF(E209=m2mFormatLUT!$A$2,CONCATENATE(DEC2HEX(I209,1),DEC2HEX(H209,3)),CONCATENATE(DEC2HEX(240,2),DEC2HEX(I209,1),DEC2HEX(H209,5)))</f>
        <v>00CF</v>
      </c>
      <c r="K209" s="99">
        <v>0</v>
      </c>
      <c r="L209" s="99">
        <f>IF(I209=6,(LEN(K209)+1)*8,IF(I209=7,(1 + HEX2DEC(MID(K209,3,FIND(",",K209)-3)))*8,IF(I209=14,(LEN(K209)+1)*16,IF(I209=15,(1 + HEX2DEC(MID(K209,3,FIND(",",K209)-3)))*16,VLOOKUP(G209,m2mFormatLUT!$B$2:$D$17,3,FALSE)))))</f>
        <v>1</v>
      </c>
      <c r="N209" s="99" t="s">
        <v>1155</v>
      </c>
    </row>
    <row r="210" spans="1:14" x14ac:dyDescent="0.55000000000000004">
      <c r="A210" s="107" t="s">
        <v>727</v>
      </c>
      <c r="B210" s="105" t="s">
        <v>728</v>
      </c>
      <c r="C210" s="100" t="s">
        <v>265</v>
      </c>
      <c r="D210" s="106" t="s">
        <v>91</v>
      </c>
      <c r="E210" s="101" t="s">
        <v>1152</v>
      </c>
      <c r="F210" s="102">
        <v>0</v>
      </c>
      <c r="G210" s="100" t="s">
        <v>1153</v>
      </c>
      <c r="H210" s="99">
        <v>208</v>
      </c>
      <c r="I210" s="99">
        <f>VLOOKUP(G210,m2mFormatLUT!$B$2:$D$17,2,FALSE)</f>
        <v>0</v>
      </c>
      <c r="J210" s="99" t="str">
        <f>IF(E210=m2mFormatLUT!$A$2,CONCATENATE(DEC2HEX(I210,1),DEC2HEX(H210,3)),CONCATENATE(DEC2HEX(240,2),DEC2HEX(I210,1),DEC2HEX(H210,5)))</f>
        <v>00D0</v>
      </c>
      <c r="K210" s="99">
        <v>0</v>
      </c>
      <c r="L210" s="99">
        <f>IF(I210=6,(LEN(K210)+1)*8,IF(I210=7,(1 + HEX2DEC(MID(K210,3,FIND(",",K210)-3)))*8,IF(I210=14,(LEN(K210)+1)*16,IF(I210=15,(1 + HEX2DEC(MID(K210,3,FIND(",",K210)-3)))*16,VLOOKUP(G210,m2mFormatLUT!$B$2:$D$17,3,FALSE)))))</f>
        <v>1</v>
      </c>
    </row>
    <row r="211" spans="1:14" x14ac:dyDescent="0.55000000000000004">
      <c r="A211" s="104" t="s">
        <v>729</v>
      </c>
      <c r="B211" s="105" t="s">
        <v>730</v>
      </c>
      <c r="C211" s="100" t="s">
        <v>265</v>
      </c>
      <c r="D211" s="106" t="s">
        <v>91</v>
      </c>
      <c r="E211" s="101" t="s">
        <v>1152</v>
      </c>
      <c r="F211" s="102">
        <v>0</v>
      </c>
      <c r="G211" s="100" t="s">
        <v>1153</v>
      </c>
      <c r="H211" s="99">
        <v>209</v>
      </c>
      <c r="I211" s="99">
        <f>VLOOKUP(G211,m2mFormatLUT!$B$2:$D$17,2,FALSE)</f>
        <v>0</v>
      </c>
      <c r="J211" s="99" t="str">
        <f>IF(E211=m2mFormatLUT!$A$2,CONCATENATE(DEC2HEX(I211,1),DEC2HEX(H211,3)),CONCATENATE(DEC2HEX(240,2),DEC2HEX(I211,1),DEC2HEX(H211,5)))</f>
        <v>00D1</v>
      </c>
      <c r="K211" s="99">
        <v>0</v>
      </c>
      <c r="L211" s="99">
        <f>IF(I211=6,(LEN(K211)+1)*8,IF(I211=7,(1 + HEX2DEC(MID(K211,3,FIND(",",K211)-3)))*8,IF(I211=14,(LEN(K211)+1)*16,IF(I211=15,(1 + HEX2DEC(MID(K211,3,FIND(",",K211)-3)))*16,VLOOKUP(G211,m2mFormatLUT!$B$2:$D$17,3,FALSE)))))</f>
        <v>1</v>
      </c>
      <c r="N211" s="99" t="s">
        <v>1155</v>
      </c>
    </row>
    <row r="212" spans="1:14" x14ac:dyDescent="0.55000000000000004">
      <c r="A212" s="104" t="s">
        <v>731</v>
      </c>
      <c r="B212" s="105" t="s">
        <v>732</v>
      </c>
      <c r="C212" s="100" t="s">
        <v>265</v>
      </c>
      <c r="D212" s="106" t="s">
        <v>91</v>
      </c>
      <c r="E212" s="101" t="s">
        <v>1152</v>
      </c>
      <c r="F212" s="102">
        <v>0</v>
      </c>
      <c r="G212" s="100" t="s">
        <v>1153</v>
      </c>
      <c r="H212" s="99">
        <v>210</v>
      </c>
      <c r="I212" s="99">
        <f>VLOOKUP(G212,m2mFormatLUT!$B$2:$D$17,2,FALSE)</f>
        <v>0</v>
      </c>
      <c r="J212" s="99" t="str">
        <f>IF(E212=m2mFormatLUT!$A$2,CONCATENATE(DEC2HEX(I212,1),DEC2HEX(H212,3)),CONCATENATE(DEC2HEX(240,2),DEC2HEX(I212,1),DEC2HEX(H212,5)))</f>
        <v>00D2</v>
      </c>
      <c r="K212" s="99">
        <v>0</v>
      </c>
      <c r="L212" s="99">
        <f>IF(I212=6,(LEN(K212)+1)*8,IF(I212=7,(1 + HEX2DEC(MID(K212,3,FIND(",",K212)-3)))*8,IF(I212=14,(LEN(K212)+1)*16,IF(I212=15,(1 + HEX2DEC(MID(K212,3,FIND(",",K212)-3)))*16,VLOOKUP(G212,m2mFormatLUT!$B$2:$D$17,3,FALSE)))))</f>
        <v>1</v>
      </c>
    </row>
    <row r="213" spans="1:14" x14ac:dyDescent="0.55000000000000004">
      <c r="A213" s="107" t="s">
        <v>733</v>
      </c>
      <c r="B213" s="105" t="s">
        <v>734</v>
      </c>
      <c r="C213" s="100" t="s">
        <v>265</v>
      </c>
      <c r="D213" s="106" t="s">
        <v>91</v>
      </c>
      <c r="E213" s="101" t="s">
        <v>1152</v>
      </c>
      <c r="F213" s="102">
        <v>0</v>
      </c>
      <c r="G213" s="100" t="s">
        <v>1153</v>
      </c>
      <c r="H213" s="99">
        <v>211</v>
      </c>
      <c r="I213" s="99">
        <f>VLOOKUP(G213,m2mFormatLUT!$B$2:$D$17,2,FALSE)</f>
        <v>0</v>
      </c>
      <c r="J213" s="99" t="str">
        <f>IF(E213=m2mFormatLUT!$A$2,CONCATENATE(DEC2HEX(I213,1),DEC2HEX(H213,3)),CONCATENATE(DEC2HEX(240,2),DEC2HEX(I213,1),DEC2HEX(H213,5)))</f>
        <v>00D3</v>
      </c>
      <c r="K213" s="99">
        <v>0</v>
      </c>
      <c r="L213" s="99">
        <f>IF(I213=6,(LEN(K213)+1)*8,IF(I213=7,(1 + HEX2DEC(MID(K213,3,FIND(",",K213)-3)))*8,IF(I213=14,(LEN(K213)+1)*16,IF(I213=15,(1 + HEX2DEC(MID(K213,3,FIND(",",K213)-3)))*16,VLOOKUP(G213,m2mFormatLUT!$B$2:$D$17,3,FALSE)))))</f>
        <v>1</v>
      </c>
      <c r="N213" s="99" t="s">
        <v>1155</v>
      </c>
    </row>
    <row r="214" spans="1:14" x14ac:dyDescent="0.55000000000000004">
      <c r="A214" s="107" t="s">
        <v>735</v>
      </c>
      <c r="B214" s="105" t="s">
        <v>736</v>
      </c>
      <c r="C214" s="100" t="s">
        <v>265</v>
      </c>
      <c r="D214" s="106" t="s">
        <v>91</v>
      </c>
      <c r="E214" s="101" t="s">
        <v>1152</v>
      </c>
      <c r="F214" s="102">
        <v>0</v>
      </c>
      <c r="G214" s="100" t="s">
        <v>1153</v>
      </c>
      <c r="H214" s="99">
        <v>212</v>
      </c>
      <c r="I214" s="99">
        <f>VLOOKUP(G214,m2mFormatLUT!$B$2:$D$17,2,FALSE)</f>
        <v>0</v>
      </c>
      <c r="J214" s="99" t="str">
        <f>IF(E214=m2mFormatLUT!$A$2,CONCATENATE(DEC2HEX(I214,1),DEC2HEX(H214,3)),CONCATENATE(DEC2HEX(240,2),DEC2HEX(I214,1),DEC2HEX(H214,5)))</f>
        <v>00D4</v>
      </c>
      <c r="K214" s="99">
        <v>0</v>
      </c>
      <c r="L214" s="99">
        <f>IF(I214=6,(LEN(K214)+1)*8,IF(I214=7,(1 + HEX2DEC(MID(K214,3,FIND(",",K214)-3)))*8,IF(I214=14,(LEN(K214)+1)*16,IF(I214=15,(1 + HEX2DEC(MID(K214,3,FIND(",",K214)-3)))*16,VLOOKUP(G214,m2mFormatLUT!$B$2:$D$17,3,FALSE)))))</f>
        <v>1</v>
      </c>
    </row>
    <row r="215" spans="1:14" x14ac:dyDescent="0.55000000000000004">
      <c r="A215" s="104" t="s">
        <v>737</v>
      </c>
      <c r="B215" s="105" t="s">
        <v>738</v>
      </c>
      <c r="C215" s="100" t="s">
        <v>265</v>
      </c>
      <c r="D215" s="106" t="s">
        <v>91</v>
      </c>
      <c r="E215" s="101" t="s">
        <v>1152</v>
      </c>
      <c r="F215" s="102">
        <v>0</v>
      </c>
      <c r="G215" s="100" t="s">
        <v>1153</v>
      </c>
      <c r="H215" s="99">
        <v>213</v>
      </c>
      <c r="I215" s="99">
        <f>VLOOKUP(G215,m2mFormatLUT!$B$2:$D$17,2,FALSE)</f>
        <v>0</v>
      </c>
      <c r="J215" s="99" t="str">
        <f>IF(E215=m2mFormatLUT!$A$2,CONCATENATE(DEC2HEX(I215,1),DEC2HEX(H215,3)),CONCATENATE(DEC2HEX(240,2),DEC2HEX(I215,1),DEC2HEX(H215,5)))</f>
        <v>00D5</v>
      </c>
      <c r="K215" s="99">
        <v>0</v>
      </c>
      <c r="L215" s="99">
        <f>IF(I215=6,(LEN(K215)+1)*8,IF(I215=7,(1 + HEX2DEC(MID(K215,3,FIND(",",K215)-3)))*8,IF(I215=14,(LEN(K215)+1)*16,IF(I215=15,(1 + HEX2DEC(MID(K215,3,FIND(",",K215)-3)))*16,VLOOKUP(G215,m2mFormatLUT!$B$2:$D$17,3,FALSE)))))</f>
        <v>1</v>
      </c>
      <c r="N215" s="99" t="s">
        <v>1155</v>
      </c>
    </row>
    <row r="216" spans="1:14" x14ac:dyDescent="0.55000000000000004">
      <c r="A216" s="104" t="s">
        <v>739</v>
      </c>
      <c r="B216" s="105" t="s">
        <v>740</v>
      </c>
      <c r="C216" s="100" t="s">
        <v>265</v>
      </c>
      <c r="D216" s="106" t="s">
        <v>91</v>
      </c>
      <c r="E216" s="101" t="s">
        <v>1152</v>
      </c>
      <c r="F216" s="102">
        <v>0</v>
      </c>
      <c r="G216" s="100" t="s">
        <v>1153</v>
      </c>
      <c r="H216" s="99">
        <v>214</v>
      </c>
      <c r="I216" s="99">
        <f>VLOOKUP(G216,m2mFormatLUT!$B$2:$D$17,2,FALSE)</f>
        <v>0</v>
      </c>
      <c r="J216" s="99" t="str">
        <f>IF(E216=m2mFormatLUT!$A$2,CONCATENATE(DEC2HEX(I216,1),DEC2HEX(H216,3)),CONCATENATE(DEC2HEX(240,2),DEC2HEX(I216,1),DEC2HEX(H216,5)))</f>
        <v>00D6</v>
      </c>
      <c r="K216" s="99">
        <v>0</v>
      </c>
      <c r="L216" s="99">
        <f>IF(I216=6,(LEN(K216)+1)*8,IF(I216=7,(1 + HEX2DEC(MID(K216,3,FIND(",",K216)-3)))*8,IF(I216=14,(LEN(K216)+1)*16,IF(I216=15,(1 + HEX2DEC(MID(K216,3,FIND(",",K216)-3)))*16,VLOOKUP(G216,m2mFormatLUT!$B$2:$D$17,3,FALSE)))))</f>
        <v>1</v>
      </c>
    </row>
    <row r="217" spans="1:14" x14ac:dyDescent="0.55000000000000004">
      <c r="A217" s="99" t="s">
        <v>743</v>
      </c>
      <c r="B217" s="105" t="s">
        <v>744</v>
      </c>
      <c r="C217" s="100" t="s">
        <v>265</v>
      </c>
      <c r="D217" s="106" t="s">
        <v>742</v>
      </c>
      <c r="E217" s="101" t="s">
        <v>1152</v>
      </c>
      <c r="F217" s="102">
        <v>0</v>
      </c>
      <c r="G217" s="100" t="s">
        <v>1153</v>
      </c>
      <c r="H217" s="99">
        <v>215</v>
      </c>
      <c r="I217" s="99">
        <f>VLOOKUP(G217,m2mFormatLUT!$B$2:$D$17,2,FALSE)</f>
        <v>0</v>
      </c>
      <c r="J217" s="99" t="str">
        <f>IF(E217=m2mFormatLUT!$A$2,CONCATENATE(DEC2HEX(I217,1),DEC2HEX(H217,3)),CONCATENATE(DEC2HEX(240,2),DEC2HEX(I217,1),DEC2HEX(H217,5)))</f>
        <v>00D7</v>
      </c>
      <c r="K217" s="99">
        <v>0</v>
      </c>
      <c r="L217" s="99">
        <f>IF(I217=6,(LEN(K217)+1)*8,IF(I217=7,(1 + HEX2DEC(MID(K217,3,FIND(",",K217)-3)))*8,IF(I217=14,(LEN(K217)+1)*16,IF(I217=15,(1 + HEX2DEC(MID(K217,3,FIND(",",K217)-3)))*16,VLOOKUP(G217,m2mFormatLUT!$B$2:$D$17,3,FALSE)))))</f>
        <v>1</v>
      </c>
    </row>
    <row r="218" spans="1:14" x14ac:dyDescent="0.55000000000000004">
      <c r="A218" s="99" t="s">
        <v>745</v>
      </c>
      <c r="B218" s="105" t="s">
        <v>746</v>
      </c>
      <c r="C218" s="100" t="s">
        <v>265</v>
      </c>
      <c r="D218" s="106" t="s">
        <v>742</v>
      </c>
      <c r="E218" s="101" t="s">
        <v>1152</v>
      </c>
      <c r="F218" s="102">
        <v>0</v>
      </c>
      <c r="G218" s="100" t="s">
        <v>1153</v>
      </c>
      <c r="H218" s="99">
        <v>216</v>
      </c>
      <c r="I218" s="99">
        <f>VLOOKUP(G218,m2mFormatLUT!$B$2:$D$17,2,FALSE)</f>
        <v>0</v>
      </c>
      <c r="J218" s="99" t="str">
        <f>IF(E218=m2mFormatLUT!$A$2,CONCATENATE(DEC2HEX(I218,1),DEC2HEX(H218,3)),CONCATENATE(DEC2HEX(240,2),DEC2HEX(I218,1),DEC2HEX(H218,5)))</f>
        <v>00D8</v>
      </c>
      <c r="K218" s="99">
        <v>0</v>
      </c>
      <c r="L218" s="99">
        <f>IF(I218=6,(LEN(K218)+1)*8,IF(I218=7,(1 + HEX2DEC(MID(K218,3,FIND(",",K218)-3)))*8,IF(I218=14,(LEN(K218)+1)*16,IF(I218=15,(1 + HEX2DEC(MID(K218,3,FIND(",",K218)-3)))*16,VLOOKUP(G218,m2mFormatLUT!$B$2:$D$17,3,FALSE)))))</f>
        <v>1</v>
      </c>
    </row>
    <row r="219" spans="1:14" x14ac:dyDescent="0.55000000000000004">
      <c r="A219" s="99" t="s">
        <v>747</v>
      </c>
      <c r="B219" s="105" t="s">
        <v>748</v>
      </c>
      <c r="C219" s="100" t="s">
        <v>265</v>
      </c>
      <c r="D219" s="106" t="s">
        <v>742</v>
      </c>
      <c r="E219" s="101" t="s">
        <v>1152</v>
      </c>
      <c r="F219" s="102">
        <v>0</v>
      </c>
      <c r="G219" s="100" t="s">
        <v>1153</v>
      </c>
      <c r="H219" s="99">
        <v>217</v>
      </c>
      <c r="I219" s="99">
        <f>VLOOKUP(G219,m2mFormatLUT!$B$2:$D$17,2,FALSE)</f>
        <v>0</v>
      </c>
      <c r="J219" s="99" t="str">
        <f>IF(E219=m2mFormatLUT!$A$2,CONCATENATE(DEC2HEX(I219,1),DEC2HEX(H219,3)),CONCATENATE(DEC2HEX(240,2),DEC2HEX(I219,1),DEC2HEX(H219,5)))</f>
        <v>00D9</v>
      </c>
      <c r="K219" s="99">
        <v>0</v>
      </c>
      <c r="L219" s="99">
        <f>IF(I219=6,(LEN(K219)+1)*8,IF(I219=7,(1 + HEX2DEC(MID(K219,3,FIND(",",K219)-3)))*8,IF(I219=14,(LEN(K219)+1)*16,IF(I219=15,(1 + HEX2DEC(MID(K219,3,FIND(",",K219)-3)))*16,VLOOKUP(G219,m2mFormatLUT!$B$2:$D$17,3,FALSE)))))</f>
        <v>1</v>
      </c>
    </row>
    <row r="220" spans="1:14" x14ac:dyDescent="0.55000000000000004">
      <c r="A220" s="99" t="s">
        <v>749</v>
      </c>
      <c r="B220" s="105" t="s">
        <v>750</v>
      </c>
      <c r="C220" s="100" t="s">
        <v>265</v>
      </c>
      <c r="D220" s="106" t="s">
        <v>742</v>
      </c>
      <c r="E220" s="101" t="s">
        <v>1152</v>
      </c>
      <c r="F220" s="102">
        <v>0</v>
      </c>
      <c r="G220" s="100" t="s">
        <v>1153</v>
      </c>
      <c r="H220" s="99">
        <v>218</v>
      </c>
      <c r="I220" s="99">
        <f>VLOOKUP(G220,m2mFormatLUT!$B$2:$D$17,2,FALSE)</f>
        <v>0</v>
      </c>
      <c r="J220" s="99" t="str">
        <f>IF(E220=m2mFormatLUT!$A$2,CONCATENATE(DEC2HEX(I220,1),DEC2HEX(H220,3)),CONCATENATE(DEC2HEX(240,2),DEC2HEX(I220,1),DEC2HEX(H220,5)))</f>
        <v>00DA</v>
      </c>
      <c r="K220" s="99">
        <v>0</v>
      </c>
      <c r="L220" s="99">
        <f>IF(I220=6,(LEN(K220)+1)*8,IF(I220=7,(1 + HEX2DEC(MID(K220,3,FIND(",",K220)-3)))*8,IF(I220=14,(LEN(K220)+1)*16,IF(I220=15,(1 + HEX2DEC(MID(K220,3,FIND(",",K220)-3)))*16,VLOOKUP(G220,m2mFormatLUT!$B$2:$D$17,3,FALSE)))))</f>
        <v>1</v>
      </c>
    </row>
    <row r="221" spans="1:14" x14ac:dyDescent="0.55000000000000004">
      <c r="A221" s="99" t="s">
        <v>751</v>
      </c>
      <c r="B221" s="105" t="s">
        <v>752</v>
      </c>
      <c r="C221" s="100" t="s">
        <v>265</v>
      </c>
      <c r="D221" s="106" t="s">
        <v>742</v>
      </c>
      <c r="E221" s="101" t="s">
        <v>1152</v>
      </c>
      <c r="F221" s="102">
        <v>0</v>
      </c>
      <c r="G221" s="100" t="s">
        <v>1153</v>
      </c>
      <c r="H221" s="99">
        <v>219</v>
      </c>
      <c r="I221" s="99">
        <f>VLOOKUP(G221,m2mFormatLUT!$B$2:$D$17,2,FALSE)</f>
        <v>0</v>
      </c>
      <c r="J221" s="99" t="str">
        <f>IF(E221=m2mFormatLUT!$A$2,CONCATENATE(DEC2HEX(I221,1),DEC2HEX(H221,3)),CONCATENATE(DEC2HEX(240,2),DEC2HEX(I221,1),DEC2HEX(H221,5)))</f>
        <v>00DB</v>
      </c>
      <c r="K221" s="99">
        <v>0</v>
      </c>
      <c r="L221" s="99">
        <f>IF(I221=6,(LEN(K221)+1)*8,IF(I221=7,(1 + HEX2DEC(MID(K221,3,FIND(",",K221)-3)))*8,IF(I221=14,(LEN(K221)+1)*16,IF(I221=15,(1 + HEX2DEC(MID(K221,3,FIND(",",K221)-3)))*16,VLOOKUP(G221,m2mFormatLUT!$B$2:$D$17,3,FALSE)))))</f>
        <v>1</v>
      </c>
    </row>
    <row r="222" spans="1:14" x14ac:dyDescent="0.55000000000000004">
      <c r="A222" s="99" t="s">
        <v>753</v>
      </c>
      <c r="B222" s="105" t="s">
        <v>754</v>
      </c>
      <c r="C222" s="100" t="s">
        <v>265</v>
      </c>
      <c r="D222" s="106" t="s">
        <v>742</v>
      </c>
      <c r="E222" s="101" t="s">
        <v>1152</v>
      </c>
      <c r="F222" s="102">
        <v>0</v>
      </c>
      <c r="G222" s="100" t="s">
        <v>1153</v>
      </c>
      <c r="H222" s="99">
        <v>220</v>
      </c>
      <c r="I222" s="99">
        <f>VLOOKUP(G222,m2mFormatLUT!$B$2:$D$17,2,FALSE)</f>
        <v>0</v>
      </c>
      <c r="J222" s="99" t="str">
        <f>IF(E222=m2mFormatLUT!$A$2,CONCATENATE(DEC2HEX(I222,1),DEC2HEX(H222,3)),CONCATENATE(DEC2HEX(240,2),DEC2HEX(I222,1),DEC2HEX(H222,5)))</f>
        <v>00DC</v>
      </c>
      <c r="K222" s="99">
        <v>0</v>
      </c>
      <c r="L222" s="99">
        <f>IF(I222=6,(LEN(K222)+1)*8,IF(I222=7,(1 + HEX2DEC(MID(K222,3,FIND(",",K222)-3)))*8,IF(I222=14,(LEN(K222)+1)*16,IF(I222=15,(1 + HEX2DEC(MID(K222,3,FIND(",",K222)-3)))*16,VLOOKUP(G222,m2mFormatLUT!$B$2:$D$17,3,FALSE)))))</f>
        <v>1</v>
      </c>
    </row>
    <row r="223" spans="1:14" x14ac:dyDescent="0.55000000000000004">
      <c r="A223" s="99" t="s">
        <v>755</v>
      </c>
      <c r="B223" s="105" t="s">
        <v>756</v>
      </c>
      <c r="C223" s="100" t="s">
        <v>265</v>
      </c>
      <c r="D223" s="106" t="s">
        <v>742</v>
      </c>
      <c r="E223" s="101" t="s">
        <v>1152</v>
      </c>
      <c r="F223" s="102">
        <v>0</v>
      </c>
      <c r="G223" s="100" t="s">
        <v>1153</v>
      </c>
      <c r="H223" s="99">
        <v>221</v>
      </c>
      <c r="I223" s="99">
        <f>VLOOKUP(G223,m2mFormatLUT!$B$2:$D$17,2,FALSE)</f>
        <v>0</v>
      </c>
      <c r="J223" s="99" t="str">
        <f>IF(E223=m2mFormatLUT!$A$2,CONCATENATE(DEC2HEX(I223,1),DEC2HEX(H223,3)),CONCATENATE(DEC2HEX(240,2),DEC2HEX(I223,1),DEC2HEX(H223,5)))</f>
        <v>00DD</v>
      </c>
      <c r="K223" s="99">
        <v>0</v>
      </c>
      <c r="L223" s="99">
        <f>IF(I223=6,(LEN(K223)+1)*8,IF(I223=7,(1 + HEX2DEC(MID(K223,3,FIND(",",K223)-3)))*8,IF(I223=14,(LEN(K223)+1)*16,IF(I223=15,(1 + HEX2DEC(MID(K223,3,FIND(",",K223)-3)))*16,VLOOKUP(G223,m2mFormatLUT!$B$2:$D$17,3,FALSE)))))</f>
        <v>1</v>
      </c>
    </row>
    <row r="224" spans="1:14" x14ac:dyDescent="0.55000000000000004">
      <c r="A224" s="99" t="s">
        <v>757</v>
      </c>
      <c r="B224" s="105" t="s">
        <v>758</v>
      </c>
      <c r="C224" s="100" t="s">
        <v>265</v>
      </c>
      <c r="D224" s="106" t="s">
        <v>742</v>
      </c>
      <c r="E224" s="101" t="s">
        <v>1152</v>
      </c>
      <c r="F224" s="102">
        <v>0</v>
      </c>
      <c r="G224" s="100" t="s">
        <v>1153</v>
      </c>
      <c r="H224" s="99">
        <v>222</v>
      </c>
      <c r="I224" s="99">
        <f>VLOOKUP(G224,m2mFormatLUT!$B$2:$D$17,2,FALSE)</f>
        <v>0</v>
      </c>
      <c r="J224" s="99" t="str">
        <f>IF(E224=m2mFormatLUT!$A$2,CONCATENATE(DEC2HEX(I224,1),DEC2HEX(H224,3)),CONCATENATE(DEC2HEX(240,2),DEC2HEX(I224,1),DEC2HEX(H224,5)))</f>
        <v>00DE</v>
      </c>
      <c r="K224" s="99">
        <v>0</v>
      </c>
      <c r="L224" s="99">
        <f>IF(I224=6,(LEN(K224)+1)*8,IF(I224=7,(1 + HEX2DEC(MID(K224,3,FIND(",",K224)-3)))*8,IF(I224=14,(LEN(K224)+1)*16,IF(I224=15,(1 + HEX2DEC(MID(K224,3,FIND(",",K224)-3)))*16,VLOOKUP(G224,m2mFormatLUT!$B$2:$D$17,3,FALSE)))))</f>
        <v>1</v>
      </c>
    </row>
    <row r="225" spans="1:14" x14ac:dyDescent="0.55000000000000004">
      <c r="A225" s="99" t="s">
        <v>759</v>
      </c>
      <c r="B225" s="105" t="s">
        <v>760</v>
      </c>
      <c r="C225" s="100" t="s">
        <v>265</v>
      </c>
      <c r="D225" s="106" t="s">
        <v>742</v>
      </c>
      <c r="E225" s="101" t="s">
        <v>1152</v>
      </c>
      <c r="F225" s="102">
        <v>0</v>
      </c>
      <c r="G225" s="100" t="s">
        <v>1153</v>
      </c>
      <c r="H225" s="99">
        <v>223</v>
      </c>
      <c r="I225" s="99">
        <f>VLOOKUP(G225,m2mFormatLUT!$B$2:$D$17,2,FALSE)</f>
        <v>0</v>
      </c>
      <c r="J225" s="99" t="str">
        <f>IF(E225=m2mFormatLUT!$A$2,CONCATENATE(DEC2HEX(I225,1),DEC2HEX(H225,3)),CONCATENATE(DEC2HEX(240,2),DEC2HEX(I225,1),DEC2HEX(H225,5)))</f>
        <v>00DF</v>
      </c>
      <c r="K225" s="99">
        <v>0</v>
      </c>
      <c r="L225" s="99">
        <f>IF(I225=6,(LEN(K225)+1)*8,IF(I225=7,(1 + HEX2DEC(MID(K225,3,FIND(",",K225)-3)))*8,IF(I225=14,(LEN(K225)+1)*16,IF(I225=15,(1 + HEX2DEC(MID(K225,3,FIND(",",K225)-3)))*16,VLOOKUP(G225,m2mFormatLUT!$B$2:$D$17,3,FALSE)))))</f>
        <v>1</v>
      </c>
    </row>
    <row r="226" spans="1:14" x14ac:dyDescent="0.55000000000000004">
      <c r="A226" s="99" t="s">
        <v>761</v>
      </c>
      <c r="B226" s="105" t="s">
        <v>762</v>
      </c>
      <c r="C226" s="100" t="s">
        <v>265</v>
      </c>
      <c r="D226" s="106" t="s">
        <v>742</v>
      </c>
      <c r="E226" s="101" t="s">
        <v>1152</v>
      </c>
      <c r="F226" s="102">
        <v>0</v>
      </c>
      <c r="G226" s="100" t="s">
        <v>1153</v>
      </c>
      <c r="H226" s="99">
        <v>224</v>
      </c>
      <c r="I226" s="99">
        <f>VLOOKUP(G226,m2mFormatLUT!$B$2:$D$17,2,FALSE)</f>
        <v>0</v>
      </c>
      <c r="J226" s="99" t="str">
        <f>IF(E226=m2mFormatLUT!$A$2,CONCATENATE(DEC2HEX(I226,1),DEC2HEX(H226,3)),CONCATENATE(DEC2HEX(240,2),DEC2HEX(I226,1),DEC2HEX(H226,5)))</f>
        <v>00E0</v>
      </c>
      <c r="K226" s="99">
        <v>0</v>
      </c>
      <c r="L226" s="99">
        <f>IF(I226=6,(LEN(K226)+1)*8,IF(I226=7,(1 + HEX2DEC(MID(K226,3,FIND(",",K226)-3)))*8,IF(I226=14,(LEN(K226)+1)*16,IF(I226=15,(1 + HEX2DEC(MID(K226,3,FIND(",",K226)-3)))*16,VLOOKUP(G226,m2mFormatLUT!$B$2:$D$17,3,FALSE)))))</f>
        <v>1</v>
      </c>
    </row>
    <row r="227" spans="1:14" x14ac:dyDescent="0.55000000000000004">
      <c r="A227" s="99" t="s">
        <v>763</v>
      </c>
      <c r="B227" s="105" t="s">
        <v>764</v>
      </c>
      <c r="C227" s="100" t="s">
        <v>265</v>
      </c>
      <c r="D227" s="106" t="s">
        <v>742</v>
      </c>
      <c r="E227" s="101" t="s">
        <v>1152</v>
      </c>
      <c r="F227" s="102">
        <v>0</v>
      </c>
      <c r="G227" s="100" t="s">
        <v>1153</v>
      </c>
      <c r="H227" s="99">
        <v>225</v>
      </c>
      <c r="I227" s="99">
        <f>VLOOKUP(G227,m2mFormatLUT!$B$2:$D$17,2,FALSE)</f>
        <v>0</v>
      </c>
      <c r="J227" s="99" t="str">
        <f>IF(E227=m2mFormatLUT!$A$2,CONCATENATE(DEC2HEX(I227,1),DEC2HEX(H227,3)),CONCATENATE(DEC2HEX(240,2),DEC2HEX(I227,1),DEC2HEX(H227,5)))</f>
        <v>00E1</v>
      </c>
      <c r="K227" s="99">
        <v>0</v>
      </c>
      <c r="L227" s="99">
        <f>IF(I227=6,(LEN(K227)+1)*8,IF(I227=7,(1 + HEX2DEC(MID(K227,3,FIND(",",K227)-3)))*8,IF(I227=14,(LEN(K227)+1)*16,IF(I227=15,(1 + HEX2DEC(MID(K227,3,FIND(",",K227)-3)))*16,VLOOKUP(G227,m2mFormatLUT!$B$2:$D$17,3,FALSE)))))</f>
        <v>1</v>
      </c>
    </row>
    <row r="228" spans="1:14" x14ac:dyDescent="0.55000000000000004">
      <c r="A228" s="99" t="s">
        <v>765</v>
      </c>
      <c r="B228" s="105" t="s">
        <v>766</v>
      </c>
      <c r="C228" s="100" t="s">
        <v>265</v>
      </c>
      <c r="D228" s="106" t="s">
        <v>742</v>
      </c>
      <c r="E228" s="101" t="s">
        <v>1152</v>
      </c>
      <c r="F228" s="102">
        <v>0</v>
      </c>
      <c r="G228" s="100" t="s">
        <v>1153</v>
      </c>
      <c r="H228" s="99">
        <v>226</v>
      </c>
      <c r="I228" s="99">
        <f>VLOOKUP(G228,m2mFormatLUT!$B$2:$D$17,2,FALSE)</f>
        <v>0</v>
      </c>
      <c r="J228" s="99" t="str">
        <f>IF(E228=m2mFormatLUT!$A$2,CONCATENATE(DEC2HEX(I228,1),DEC2HEX(H228,3)),CONCATENATE(DEC2HEX(240,2),DEC2HEX(I228,1),DEC2HEX(H228,5)))</f>
        <v>00E2</v>
      </c>
      <c r="K228" s="99">
        <v>0</v>
      </c>
      <c r="L228" s="99">
        <f>IF(I228=6,(LEN(K228)+1)*8,IF(I228=7,(1 + HEX2DEC(MID(K228,3,FIND(",",K228)-3)))*8,IF(I228=14,(LEN(K228)+1)*16,IF(I228=15,(1 + HEX2DEC(MID(K228,3,FIND(",",K228)-3)))*16,VLOOKUP(G228,m2mFormatLUT!$B$2:$D$17,3,FALSE)))))</f>
        <v>1</v>
      </c>
    </row>
    <row r="229" spans="1:14" x14ac:dyDescent="0.55000000000000004">
      <c r="A229" s="99" t="s">
        <v>767</v>
      </c>
      <c r="B229" s="105" t="s">
        <v>768</v>
      </c>
      <c r="C229" s="100" t="s">
        <v>265</v>
      </c>
      <c r="D229" s="106" t="s">
        <v>742</v>
      </c>
      <c r="E229" s="101" t="s">
        <v>1152</v>
      </c>
      <c r="F229" s="102">
        <v>0</v>
      </c>
      <c r="G229" s="100" t="s">
        <v>1153</v>
      </c>
      <c r="H229" s="99">
        <v>227</v>
      </c>
      <c r="I229" s="99">
        <f>VLOOKUP(G229,m2mFormatLUT!$B$2:$D$17,2,FALSE)</f>
        <v>0</v>
      </c>
      <c r="J229" s="99" t="str">
        <f>IF(E229=m2mFormatLUT!$A$2,CONCATENATE(DEC2HEX(I229,1),DEC2HEX(H229,3)),CONCATENATE(DEC2HEX(240,2),DEC2HEX(I229,1),DEC2HEX(H229,5)))</f>
        <v>00E3</v>
      </c>
      <c r="K229" s="99">
        <v>0</v>
      </c>
      <c r="L229" s="99">
        <f>IF(I229=6,(LEN(K229)+1)*8,IF(I229=7,(1 + HEX2DEC(MID(K229,3,FIND(",",K229)-3)))*8,IF(I229=14,(LEN(K229)+1)*16,IF(I229=15,(1 + HEX2DEC(MID(K229,3,FIND(",",K229)-3)))*16,VLOOKUP(G229,m2mFormatLUT!$B$2:$D$17,3,FALSE)))))</f>
        <v>1</v>
      </c>
    </row>
    <row r="230" spans="1:14" x14ac:dyDescent="0.55000000000000004">
      <c r="A230" s="99" t="s">
        <v>769</v>
      </c>
      <c r="B230" s="105" t="s">
        <v>770</v>
      </c>
      <c r="C230" s="100" t="s">
        <v>265</v>
      </c>
      <c r="D230" s="106" t="s">
        <v>742</v>
      </c>
      <c r="E230" s="101" t="s">
        <v>1152</v>
      </c>
      <c r="F230" s="102">
        <v>0</v>
      </c>
      <c r="G230" s="100" t="s">
        <v>1153</v>
      </c>
      <c r="H230" s="99">
        <v>228</v>
      </c>
      <c r="I230" s="99">
        <f>VLOOKUP(G230,m2mFormatLUT!$B$2:$D$17,2,FALSE)</f>
        <v>0</v>
      </c>
      <c r="J230" s="99" t="str">
        <f>IF(E230=m2mFormatLUT!$A$2,CONCATENATE(DEC2HEX(I230,1),DEC2HEX(H230,3)),CONCATENATE(DEC2HEX(240,2),DEC2HEX(I230,1),DEC2HEX(H230,5)))</f>
        <v>00E4</v>
      </c>
      <c r="K230" s="99">
        <v>0</v>
      </c>
      <c r="L230" s="99">
        <f>IF(I230=6,(LEN(K230)+1)*8,IF(I230=7,(1 + HEX2DEC(MID(K230,3,FIND(",",K230)-3)))*8,IF(I230=14,(LEN(K230)+1)*16,IF(I230=15,(1 + HEX2DEC(MID(K230,3,FIND(",",K230)-3)))*16,VLOOKUP(G230,m2mFormatLUT!$B$2:$D$17,3,FALSE)))))</f>
        <v>1</v>
      </c>
    </row>
    <row r="231" spans="1:14" x14ac:dyDescent="0.55000000000000004">
      <c r="A231" s="99" t="s">
        <v>771</v>
      </c>
      <c r="B231" s="105" t="s">
        <v>772</v>
      </c>
      <c r="C231" s="100" t="s">
        <v>265</v>
      </c>
      <c r="D231" s="106" t="s">
        <v>742</v>
      </c>
      <c r="E231" s="101" t="s">
        <v>1152</v>
      </c>
      <c r="F231" s="102">
        <v>0</v>
      </c>
      <c r="G231" s="100" t="s">
        <v>1153</v>
      </c>
      <c r="H231" s="99">
        <v>229</v>
      </c>
      <c r="I231" s="99">
        <f>VLOOKUP(G231,m2mFormatLUT!$B$2:$D$17,2,FALSE)</f>
        <v>0</v>
      </c>
      <c r="J231" s="99" t="str">
        <f>IF(E231=m2mFormatLUT!$A$2,CONCATENATE(DEC2HEX(I231,1),DEC2HEX(H231,3)),CONCATENATE(DEC2HEX(240,2),DEC2HEX(I231,1),DEC2HEX(H231,5)))</f>
        <v>00E5</v>
      </c>
      <c r="K231" s="99">
        <v>0</v>
      </c>
      <c r="L231" s="99">
        <f>IF(I231=6,(LEN(K231)+1)*8,IF(I231=7,(1 + HEX2DEC(MID(K231,3,FIND(",",K231)-3)))*8,IF(I231=14,(LEN(K231)+1)*16,IF(I231=15,(1 + HEX2DEC(MID(K231,3,FIND(",",K231)-3)))*16,VLOOKUP(G231,m2mFormatLUT!$B$2:$D$17,3,FALSE)))))</f>
        <v>1</v>
      </c>
    </row>
    <row r="232" spans="1:14" x14ac:dyDescent="0.55000000000000004">
      <c r="A232" s="99" t="s">
        <v>773</v>
      </c>
      <c r="B232" s="105" t="s">
        <v>774</v>
      </c>
      <c r="C232" s="100" t="s">
        <v>265</v>
      </c>
      <c r="D232" s="106" t="s">
        <v>742</v>
      </c>
      <c r="E232" s="101" t="s">
        <v>1152</v>
      </c>
      <c r="F232" s="102">
        <v>0</v>
      </c>
      <c r="G232" s="100" t="s">
        <v>1153</v>
      </c>
      <c r="H232" s="99">
        <v>230</v>
      </c>
      <c r="I232" s="99">
        <f>VLOOKUP(G232,m2mFormatLUT!$B$2:$D$17,2,FALSE)</f>
        <v>0</v>
      </c>
      <c r="J232" s="99" t="str">
        <f>IF(E232=m2mFormatLUT!$A$2,CONCATENATE(DEC2HEX(I232,1),DEC2HEX(H232,3)),CONCATENATE(DEC2HEX(240,2),DEC2HEX(I232,1),DEC2HEX(H232,5)))</f>
        <v>00E6</v>
      </c>
      <c r="K232" s="99">
        <v>0</v>
      </c>
      <c r="L232" s="99">
        <f>IF(I232=6,(LEN(K232)+1)*8,IF(I232=7,(1 + HEX2DEC(MID(K232,3,FIND(",",K232)-3)))*8,IF(I232=14,(LEN(K232)+1)*16,IF(I232=15,(1 + HEX2DEC(MID(K232,3,FIND(",",K232)-3)))*16,VLOOKUP(G232,m2mFormatLUT!$B$2:$D$17,3,FALSE)))))</f>
        <v>1</v>
      </c>
    </row>
    <row r="233" spans="1:14" x14ac:dyDescent="0.55000000000000004">
      <c r="A233" s="99" t="s">
        <v>775</v>
      </c>
      <c r="B233" s="105" t="s">
        <v>776</v>
      </c>
      <c r="C233" s="100" t="s">
        <v>265</v>
      </c>
      <c r="D233" s="106" t="s">
        <v>742</v>
      </c>
      <c r="E233" s="101" t="s">
        <v>1152</v>
      </c>
      <c r="F233" s="102">
        <v>0</v>
      </c>
      <c r="G233" s="100" t="s">
        <v>1153</v>
      </c>
      <c r="H233" s="99">
        <v>231</v>
      </c>
      <c r="I233" s="99">
        <f>VLOOKUP(G233,m2mFormatLUT!$B$2:$D$17,2,FALSE)</f>
        <v>0</v>
      </c>
      <c r="J233" s="99" t="str">
        <f>IF(E233=m2mFormatLUT!$A$2,CONCATENATE(DEC2HEX(I233,1),DEC2HEX(H233,3)),CONCATENATE(DEC2HEX(240,2),DEC2HEX(I233,1),DEC2HEX(H233,5)))</f>
        <v>00E7</v>
      </c>
      <c r="K233" s="99">
        <v>0</v>
      </c>
      <c r="L233" s="99">
        <f>IF(I233=6,(LEN(K233)+1)*8,IF(I233=7,(1 + HEX2DEC(MID(K233,3,FIND(",",K233)-3)))*8,IF(I233=14,(LEN(K233)+1)*16,IF(I233=15,(1 + HEX2DEC(MID(K233,3,FIND(",",K233)-3)))*16,VLOOKUP(G233,m2mFormatLUT!$B$2:$D$17,3,FALSE)))))</f>
        <v>1</v>
      </c>
    </row>
    <row r="234" spans="1:14" x14ac:dyDescent="0.55000000000000004">
      <c r="A234" s="107" t="s">
        <v>777</v>
      </c>
      <c r="B234" s="105" t="s">
        <v>778</v>
      </c>
      <c r="C234" s="100" t="s">
        <v>265</v>
      </c>
      <c r="D234" s="106" t="s">
        <v>742</v>
      </c>
      <c r="E234" s="101" t="s">
        <v>1152</v>
      </c>
      <c r="F234" s="102">
        <v>0</v>
      </c>
      <c r="G234" s="100" t="s">
        <v>1153</v>
      </c>
      <c r="H234" s="99">
        <v>232</v>
      </c>
      <c r="I234" s="99">
        <f>VLOOKUP(G234,m2mFormatLUT!$B$2:$D$17,2,FALSE)</f>
        <v>0</v>
      </c>
      <c r="J234" s="99" t="str">
        <f>IF(E234=m2mFormatLUT!$A$2,CONCATENATE(DEC2HEX(I234,1),DEC2HEX(H234,3)),CONCATENATE(DEC2HEX(240,2),DEC2HEX(I234,1),DEC2HEX(H234,5)))</f>
        <v>00E8</v>
      </c>
      <c r="K234" s="99">
        <v>0</v>
      </c>
      <c r="L234" s="99">
        <f>IF(I234=6,(LEN(K234)+1)*8,IF(I234=7,(1 + HEX2DEC(MID(K234,3,FIND(",",K234)-3)))*8,IF(I234=14,(LEN(K234)+1)*16,IF(I234=15,(1 + HEX2DEC(MID(K234,3,FIND(",",K234)-3)))*16,VLOOKUP(G234,m2mFormatLUT!$B$2:$D$17,3,FALSE)))))</f>
        <v>1</v>
      </c>
      <c r="N234" s="99" t="s">
        <v>1155</v>
      </c>
    </row>
    <row r="235" spans="1:14" x14ac:dyDescent="0.55000000000000004">
      <c r="A235" s="107" t="s">
        <v>779</v>
      </c>
      <c r="B235" s="105" t="s">
        <v>780</v>
      </c>
      <c r="C235" s="100" t="s">
        <v>265</v>
      </c>
      <c r="D235" s="106" t="s">
        <v>742</v>
      </c>
      <c r="E235" s="101" t="s">
        <v>1152</v>
      </c>
      <c r="F235" s="102">
        <v>0</v>
      </c>
      <c r="G235" s="100" t="s">
        <v>1153</v>
      </c>
      <c r="H235" s="99">
        <v>233</v>
      </c>
      <c r="I235" s="99">
        <f>VLOOKUP(G235,m2mFormatLUT!$B$2:$D$17,2,FALSE)</f>
        <v>0</v>
      </c>
      <c r="J235" s="99" t="str">
        <f>IF(E235=m2mFormatLUT!$A$2,CONCATENATE(DEC2HEX(I235,1),DEC2HEX(H235,3)),CONCATENATE(DEC2HEX(240,2),DEC2HEX(I235,1),DEC2HEX(H235,5)))</f>
        <v>00E9</v>
      </c>
      <c r="K235" s="99">
        <v>0</v>
      </c>
      <c r="L235" s="99">
        <f>IF(I235=6,(LEN(K235)+1)*8,IF(I235=7,(1 + HEX2DEC(MID(K235,3,FIND(",",K235)-3)))*8,IF(I235=14,(LEN(K235)+1)*16,IF(I235=15,(1 + HEX2DEC(MID(K235,3,FIND(",",K235)-3)))*16,VLOOKUP(G235,m2mFormatLUT!$B$2:$D$17,3,FALSE)))))</f>
        <v>1</v>
      </c>
    </row>
    <row r="236" spans="1:14" x14ac:dyDescent="0.55000000000000004">
      <c r="A236" s="99" t="s">
        <v>781</v>
      </c>
      <c r="B236" s="105" t="s">
        <v>782</v>
      </c>
      <c r="C236" s="100" t="s">
        <v>265</v>
      </c>
      <c r="D236" s="106" t="s">
        <v>742</v>
      </c>
      <c r="E236" s="101" t="s">
        <v>1152</v>
      </c>
      <c r="F236" s="102">
        <v>0</v>
      </c>
      <c r="G236" s="100" t="s">
        <v>1153</v>
      </c>
      <c r="H236" s="99">
        <v>234</v>
      </c>
      <c r="I236" s="99">
        <f>VLOOKUP(G236,m2mFormatLUT!$B$2:$D$17,2,FALSE)</f>
        <v>0</v>
      </c>
      <c r="J236" s="99" t="str">
        <f>IF(E236=m2mFormatLUT!$A$2,CONCATENATE(DEC2HEX(I236,1),DEC2HEX(H236,3)),CONCATENATE(DEC2HEX(240,2),DEC2HEX(I236,1),DEC2HEX(H236,5)))</f>
        <v>00EA</v>
      </c>
      <c r="K236" s="99">
        <v>0</v>
      </c>
      <c r="L236" s="99">
        <f>IF(I236=6,(LEN(K236)+1)*8,IF(I236=7,(1 + HEX2DEC(MID(K236,3,FIND(",",K236)-3)))*8,IF(I236=14,(LEN(K236)+1)*16,IF(I236=15,(1 + HEX2DEC(MID(K236,3,FIND(",",K236)-3)))*16,VLOOKUP(G236,m2mFormatLUT!$B$2:$D$17,3,FALSE)))))</f>
        <v>1</v>
      </c>
    </row>
    <row r="237" spans="1:14" x14ac:dyDescent="0.55000000000000004">
      <c r="A237" s="99" t="s">
        <v>783</v>
      </c>
      <c r="B237" s="105" t="s">
        <v>784</v>
      </c>
      <c r="C237" s="100" t="s">
        <v>265</v>
      </c>
      <c r="D237" s="106" t="s">
        <v>742</v>
      </c>
      <c r="E237" s="101" t="s">
        <v>1152</v>
      </c>
      <c r="F237" s="102">
        <v>0</v>
      </c>
      <c r="G237" s="100" t="s">
        <v>1153</v>
      </c>
      <c r="H237" s="99">
        <v>235</v>
      </c>
      <c r="I237" s="99">
        <f>VLOOKUP(G237,m2mFormatLUT!$B$2:$D$17,2,FALSE)</f>
        <v>0</v>
      </c>
      <c r="J237" s="99" t="str">
        <f>IF(E237=m2mFormatLUT!$A$2,CONCATENATE(DEC2HEX(I237,1),DEC2HEX(H237,3)),CONCATENATE(DEC2HEX(240,2),DEC2HEX(I237,1),DEC2HEX(H237,5)))</f>
        <v>00EB</v>
      </c>
      <c r="K237" s="99">
        <v>0</v>
      </c>
      <c r="L237" s="99">
        <f>IF(I237=6,(LEN(K237)+1)*8,IF(I237=7,(1 + HEX2DEC(MID(K237,3,FIND(",",K237)-3)))*8,IF(I237=14,(LEN(K237)+1)*16,IF(I237=15,(1 + HEX2DEC(MID(K237,3,FIND(",",K237)-3)))*16,VLOOKUP(G237,m2mFormatLUT!$B$2:$D$17,3,FALSE)))))</f>
        <v>1</v>
      </c>
    </row>
    <row r="238" spans="1:14" x14ac:dyDescent="0.55000000000000004">
      <c r="A238" s="99" t="s">
        <v>785</v>
      </c>
      <c r="B238" s="105" t="s">
        <v>786</v>
      </c>
      <c r="C238" s="100" t="s">
        <v>265</v>
      </c>
      <c r="D238" s="106" t="s">
        <v>742</v>
      </c>
      <c r="E238" s="101" t="s">
        <v>1152</v>
      </c>
      <c r="F238" s="102">
        <v>0</v>
      </c>
      <c r="G238" s="100" t="s">
        <v>1153</v>
      </c>
      <c r="H238" s="99">
        <v>236</v>
      </c>
      <c r="I238" s="99">
        <f>VLOOKUP(G238,m2mFormatLUT!$B$2:$D$17,2,FALSE)</f>
        <v>0</v>
      </c>
      <c r="J238" s="99" t="str">
        <f>IF(E238=m2mFormatLUT!$A$2,CONCATENATE(DEC2HEX(I238,1),DEC2HEX(H238,3)),CONCATENATE(DEC2HEX(240,2),DEC2HEX(I238,1),DEC2HEX(H238,5)))</f>
        <v>00EC</v>
      </c>
      <c r="K238" s="99">
        <v>0</v>
      </c>
      <c r="L238" s="99">
        <f>IF(I238=6,(LEN(K238)+1)*8,IF(I238=7,(1 + HEX2DEC(MID(K238,3,FIND(",",K238)-3)))*8,IF(I238=14,(LEN(K238)+1)*16,IF(I238=15,(1 + HEX2DEC(MID(K238,3,FIND(",",K238)-3)))*16,VLOOKUP(G238,m2mFormatLUT!$B$2:$D$17,3,FALSE)))))</f>
        <v>1</v>
      </c>
    </row>
    <row r="239" spans="1:14" x14ac:dyDescent="0.55000000000000004">
      <c r="A239" s="104" t="s">
        <v>789</v>
      </c>
      <c r="B239" s="105" t="s">
        <v>788</v>
      </c>
      <c r="C239" s="100" t="s">
        <v>265</v>
      </c>
      <c r="D239" s="106" t="s">
        <v>742</v>
      </c>
      <c r="E239" s="101" t="s">
        <v>1152</v>
      </c>
      <c r="F239" s="102">
        <v>0</v>
      </c>
      <c r="G239" s="100" t="s">
        <v>1153</v>
      </c>
      <c r="H239" s="99">
        <v>237</v>
      </c>
      <c r="I239" s="99">
        <f>VLOOKUP(G239,m2mFormatLUT!$B$2:$D$17,2,FALSE)</f>
        <v>0</v>
      </c>
      <c r="J239" s="99" t="str">
        <f>IF(E239=m2mFormatLUT!$A$2,CONCATENATE(DEC2HEX(I239,1),DEC2HEX(H239,3)),CONCATENATE(DEC2HEX(240,2),DEC2HEX(I239,1),DEC2HEX(H239,5)))</f>
        <v>00ED</v>
      </c>
      <c r="K239" s="99">
        <v>0</v>
      </c>
      <c r="L239" s="99">
        <f>IF(I239=6,(LEN(K239)+1)*8,IF(I239=7,(1 + HEX2DEC(MID(K239,3,FIND(",",K239)-3)))*8,IF(I239=14,(LEN(K239)+1)*16,IF(I239=15,(1 + HEX2DEC(MID(K239,3,FIND(",",K239)-3)))*16,VLOOKUP(G239,m2mFormatLUT!$B$2:$D$17,3,FALSE)))))</f>
        <v>1</v>
      </c>
      <c r="N239" s="99" t="s">
        <v>1155</v>
      </c>
    </row>
    <row r="240" spans="1:14" x14ac:dyDescent="0.55000000000000004">
      <c r="A240" s="104" t="s">
        <v>787</v>
      </c>
      <c r="B240" s="105" t="s">
        <v>790</v>
      </c>
      <c r="C240" s="100" t="s">
        <v>265</v>
      </c>
      <c r="D240" s="106" t="s">
        <v>742</v>
      </c>
      <c r="E240" s="101" t="s">
        <v>1152</v>
      </c>
      <c r="F240" s="102">
        <v>0</v>
      </c>
      <c r="G240" s="100" t="s">
        <v>1153</v>
      </c>
      <c r="H240" s="99">
        <v>238</v>
      </c>
      <c r="I240" s="99">
        <f>VLOOKUP(G240,m2mFormatLUT!$B$2:$D$17,2,FALSE)</f>
        <v>0</v>
      </c>
      <c r="J240" s="99" t="str">
        <f>IF(E240=m2mFormatLUT!$A$2,CONCATENATE(DEC2HEX(I240,1),DEC2HEX(H240,3)),CONCATENATE(DEC2HEX(240,2),DEC2HEX(I240,1),DEC2HEX(H240,5)))</f>
        <v>00EE</v>
      </c>
      <c r="K240" s="99">
        <v>0</v>
      </c>
      <c r="L240" s="99">
        <f>IF(I240=6,(LEN(K240)+1)*8,IF(I240=7,(1 + HEX2DEC(MID(K240,3,FIND(",",K240)-3)))*8,IF(I240=14,(LEN(K240)+1)*16,IF(I240=15,(1 + HEX2DEC(MID(K240,3,FIND(",",K240)-3)))*16,VLOOKUP(G240,m2mFormatLUT!$B$2:$D$17,3,FALSE)))))</f>
        <v>1</v>
      </c>
    </row>
    <row r="241" spans="1:14" x14ac:dyDescent="0.55000000000000004">
      <c r="A241" s="107" t="s">
        <v>791</v>
      </c>
      <c r="B241" s="105" t="s">
        <v>792</v>
      </c>
      <c r="C241" s="100" t="s">
        <v>265</v>
      </c>
      <c r="D241" s="106" t="s">
        <v>742</v>
      </c>
      <c r="E241" s="101" t="s">
        <v>1152</v>
      </c>
      <c r="F241" s="102">
        <v>0</v>
      </c>
      <c r="G241" s="100" t="s">
        <v>1153</v>
      </c>
      <c r="H241" s="99">
        <v>239</v>
      </c>
      <c r="I241" s="99">
        <f>VLOOKUP(G241,m2mFormatLUT!$B$2:$D$17,2,FALSE)</f>
        <v>0</v>
      </c>
      <c r="J241" s="99" t="str">
        <f>IF(E241=m2mFormatLUT!$A$2,CONCATENATE(DEC2HEX(I241,1),DEC2HEX(H241,3)),CONCATENATE(DEC2HEX(240,2),DEC2HEX(I241,1),DEC2HEX(H241,5)))</f>
        <v>00EF</v>
      </c>
      <c r="K241" s="99">
        <v>0</v>
      </c>
      <c r="L241" s="99">
        <f>IF(I241=6,(LEN(K241)+1)*8,IF(I241=7,(1 + HEX2DEC(MID(K241,3,FIND(",",K241)-3)))*8,IF(I241=14,(LEN(K241)+1)*16,IF(I241=15,(1 + HEX2DEC(MID(K241,3,FIND(",",K241)-3)))*16,VLOOKUP(G241,m2mFormatLUT!$B$2:$D$17,3,FALSE)))))</f>
        <v>1</v>
      </c>
      <c r="N241" s="99" t="s">
        <v>1155</v>
      </c>
    </row>
    <row r="242" spans="1:14" x14ac:dyDescent="0.55000000000000004">
      <c r="A242" s="107" t="s">
        <v>793</v>
      </c>
      <c r="B242" s="105" t="s">
        <v>794</v>
      </c>
      <c r="C242" s="100" t="s">
        <v>265</v>
      </c>
      <c r="D242" s="106" t="s">
        <v>742</v>
      </c>
      <c r="E242" s="101" t="s">
        <v>1152</v>
      </c>
      <c r="F242" s="102">
        <v>0</v>
      </c>
      <c r="G242" s="100" t="s">
        <v>1153</v>
      </c>
      <c r="H242" s="99">
        <v>240</v>
      </c>
      <c r="I242" s="99">
        <f>VLOOKUP(G242,m2mFormatLUT!$B$2:$D$17,2,FALSE)</f>
        <v>0</v>
      </c>
      <c r="J242" s="99" t="str">
        <f>IF(E242=m2mFormatLUT!$A$2,CONCATENATE(DEC2HEX(I242,1),DEC2HEX(H242,3)),CONCATENATE(DEC2HEX(240,2),DEC2HEX(I242,1),DEC2HEX(H242,5)))</f>
        <v>00F0</v>
      </c>
      <c r="K242" s="99">
        <v>0</v>
      </c>
      <c r="L242" s="99">
        <f>IF(I242=6,(LEN(K242)+1)*8,IF(I242=7,(1 + HEX2DEC(MID(K242,3,FIND(",",K242)-3)))*8,IF(I242=14,(LEN(K242)+1)*16,IF(I242=15,(1 + HEX2DEC(MID(K242,3,FIND(",",K242)-3)))*16,VLOOKUP(G242,m2mFormatLUT!$B$2:$D$17,3,FALSE)))))</f>
        <v>1</v>
      </c>
    </row>
    <row r="243" spans="1:14" x14ac:dyDescent="0.55000000000000004">
      <c r="A243" s="99" t="s">
        <v>795</v>
      </c>
      <c r="B243" s="105" t="s">
        <v>796</v>
      </c>
      <c r="C243" s="100" t="s">
        <v>265</v>
      </c>
      <c r="D243" s="106" t="s">
        <v>742</v>
      </c>
      <c r="E243" s="101" t="s">
        <v>1152</v>
      </c>
      <c r="F243" s="102">
        <v>0</v>
      </c>
      <c r="G243" s="100" t="s">
        <v>1153</v>
      </c>
      <c r="H243" s="99">
        <v>241</v>
      </c>
      <c r="I243" s="99">
        <f>VLOOKUP(G243,m2mFormatLUT!$B$2:$D$17,2,FALSE)</f>
        <v>0</v>
      </c>
      <c r="J243" s="99" t="str">
        <f>IF(E243=m2mFormatLUT!$A$2,CONCATENATE(DEC2HEX(I243,1),DEC2HEX(H243,3)),CONCATENATE(DEC2HEX(240,2),DEC2HEX(I243,1),DEC2HEX(H243,5)))</f>
        <v>00F1</v>
      </c>
      <c r="K243" s="99">
        <v>0</v>
      </c>
      <c r="L243" s="99">
        <f>IF(I243=6,(LEN(K243)+1)*8,IF(I243=7,(1 + HEX2DEC(MID(K243,3,FIND(",",K243)-3)))*8,IF(I243=14,(LEN(K243)+1)*16,IF(I243=15,(1 + HEX2DEC(MID(K243,3,FIND(",",K243)-3)))*16,VLOOKUP(G243,m2mFormatLUT!$B$2:$D$17,3,FALSE)))))</f>
        <v>1</v>
      </c>
    </row>
    <row r="244" spans="1:14" x14ac:dyDescent="0.55000000000000004">
      <c r="A244" s="99" t="s">
        <v>797</v>
      </c>
      <c r="B244" s="105" t="s">
        <v>798</v>
      </c>
      <c r="C244" s="100" t="s">
        <v>265</v>
      </c>
      <c r="D244" s="106" t="s">
        <v>742</v>
      </c>
      <c r="E244" s="101" t="s">
        <v>1152</v>
      </c>
      <c r="F244" s="102">
        <v>0</v>
      </c>
      <c r="G244" s="100" t="s">
        <v>1153</v>
      </c>
      <c r="H244" s="99">
        <v>242</v>
      </c>
      <c r="I244" s="99">
        <f>VLOOKUP(G244,m2mFormatLUT!$B$2:$D$17,2,FALSE)</f>
        <v>0</v>
      </c>
      <c r="J244" s="99" t="str">
        <f>IF(E244=m2mFormatLUT!$A$2,CONCATENATE(DEC2HEX(I244,1),DEC2HEX(H244,3)),CONCATENATE(DEC2HEX(240,2),DEC2HEX(I244,1),DEC2HEX(H244,5)))</f>
        <v>00F2</v>
      </c>
      <c r="K244" s="99">
        <v>0</v>
      </c>
      <c r="L244" s="99">
        <f>IF(I244=6,(LEN(K244)+1)*8,IF(I244=7,(1 + HEX2DEC(MID(K244,3,FIND(",",K244)-3)))*8,IF(I244=14,(LEN(K244)+1)*16,IF(I244=15,(1 + HEX2DEC(MID(K244,3,FIND(",",K244)-3)))*16,VLOOKUP(G244,m2mFormatLUT!$B$2:$D$17,3,FALSE)))))</f>
        <v>1</v>
      </c>
    </row>
    <row r="245" spans="1:14" x14ac:dyDescent="0.55000000000000004">
      <c r="A245" s="99" t="s">
        <v>799</v>
      </c>
      <c r="B245" s="105" t="s">
        <v>800</v>
      </c>
      <c r="C245" s="100" t="s">
        <v>265</v>
      </c>
      <c r="D245" s="106" t="s">
        <v>742</v>
      </c>
      <c r="E245" s="101" t="s">
        <v>1152</v>
      </c>
      <c r="F245" s="102">
        <v>0</v>
      </c>
      <c r="G245" s="100" t="s">
        <v>1153</v>
      </c>
      <c r="H245" s="99">
        <v>243</v>
      </c>
      <c r="I245" s="99">
        <f>VLOOKUP(G245,m2mFormatLUT!$B$2:$D$17,2,FALSE)</f>
        <v>0</v>
      </c>
      <c r="J245" s="99" t="str">
        <f>IF(E245=m2mFormatLUT!$A$2,CONCATENATE(DEC2HEX(I245,1),DEC2HEX(H245,3)),CONCATENATE(DEC2HEX(240,2),DEC2HEX(I245,1),DEC2HEX(H245,5)))</f>
        <v>00F3</v>
      </c>
      <c r="K245" s="99">
        <v>0</v>
      </c>
      <c r="L245" s="99">
        <f>IF(I245=6,(LEN(K245)+1)*8,IF(I245=7,(1 + HEX2DEC(MID(K245,3,FIND(",",K245)-3)))*8,IF(I245=14,(LEN(K245)+1)*16,IF(I245=15,(1 + HEX2DEC(MID(K245,3,FIND(",",K245)-3)))*16,VLOOKUP(G245,m2mFormatLUT!$B$2:$D$17,3,FALSE)))))</f>
        <v>1</v>
      </c>
    </row>
    <row r="246" spans="1:14" x14ac:dyDescent="0.55000000000000004">
      <c r="A246" s="99" t="s">
        <v>801</v>
      </c>
      <c r="B246" s="105" t="s">
        <v>802</v>
      </c>
      <c r="C246" s="100" t="s">
        <v>265</v>
      </c>
      <c r="D246" s="106" t="s">
        <v>742</v>
      </c>
      <c r="E246" s="101" t="s">
        <v>1152</v>
      </c>
      <c r="F246" s="102">
        <v>0</v>
      </c>
      <c r="G246" s="100" t="s">
        <v>1153</v>
      </c>
      <c r="H246" s="99">
        <v>244</v>
      </c>
      <c r="I246" s="99">
        <f>VLOOKUP(G246,m2mFormatLUT!$B$2:$D$17,2,FALSE)</f>
        <v>0</v>
      </c>
      <c r="J246" s="99" t="str">
        <f>IF(E246=m2mFormatLUT!$A$2,CONCATENATE(DEC2HEX(I246,1),DEC2HEX(H246,3)),CONCATENATE(DEC2HEX(240,2),DEC2HEX(I246,1),DEC2HEX(H246,5)))</f>
        <v>00F4</v>
      </c>
      <c r="K246" s="99">
        <v>0</v>
      </c>
      <c r="L246" s="99">
        <f>IF(I246=6,(LEN(K246)+1)*8,IF(I246=7,(1 + HEX2DEC(MID(K246,3,FIND(",",K246)-3)))*8,IF(I246=14,(LEN(K246)+1)*16,IF(I246=15,(1 + HEX2DEC(MID(K246,3,FIND(",",K246)-3)))*16,VLOOKUP(G246,m2mFormatLUT!$B$2:$D$17,3,FALSE)))))</f>
        <v>1</v>
      </c>
    </row>
    <row r="247" spans="1:14" x14ac:dyDescent="0.55000000000000004">
      <c r="A247" s="99" t="s">
        <v>803</v>
      </c>
      <c r="B247" s="105" t="s">
        <v>804</v>
      </c>
      <c r="C247" s="100" t="s">
        <v>265</v>
      </c>
      <c r="D247" s="106" t="s">
        <v>742</v>
      </c>
      <c r="E247" s="101" t="s">
        <v>1152</v>
      </c>
      <c r="F247" s="102">
        <v>0</v>
      </c>
      <c r="G247" s="100" t="s">
        <v>1153</v>
      </c>
      <c r="H247" s="99">
        <v>245</v>
      </c>
      <c r="I247" s="99">
        <f>VLOOKUP(G247,m2mFormatLUT!$B$2:$D$17,2,FALSE)</f>
        <v>0</v>
      </c>
      <c r="J247" s="99" t="str">
        <f>IF(E247=m2mFormatLUT!$A$2,CONCATENATE(DEC2HEX(I247,1),DEC2HEX(H247,3)),CONCATENATE(DEC2HEX(240,2),DEC2HEX(I247,1),DEC2HEX(H247,5)))</f>
        <v>00F5</v>
      </c>
      <c r="K247" s="99">
        <v>0</v>
      </c>
      <c r="L247" s="99">
        <f>IF(I247=6,(LEN(K247)+1)*8,IF(I247=7,(1 + HEX2DEC(MID(K247,3,FIND(",",K247)-3)))*8,IF(I247=14,(LEN(K247)+1)*16,IF(I247=15,(1 + HEX2DEC(MID(K247,3,FIND(",",K247)-3)))*16,VLOOKUP(G247,m2mFormatLUT!$B$2:$D$17,3,FALSE)))))</f>
        <v>1</v>
      </c>
    </row>
    <row r="248" spans="1:14" x14ac:dyDescent="0.55000000000000004">
      <c r="A248" s="104" t="s">
        <v>809</v>
      </c>
      <c r="B248" s="105" t="s">
        <v>808</v>
      </c>
      <c r="C248" s="100" t="s">
        <v>265</v>
      </c>
      <c r="D248" s="106" t="s">
        <v>806</v>
      </c>
      <c r="E248" s="101" t="s">
        <v>1152</v>
      </c>
      <c r="F248" s="102">
        <v>0</v>
      </c>
      <c r="G248" s="100" t="s">
        <v>1153</v>
      </c>
      <c r="H248" s="99">
        <v>246</v>
      </c>
      <c r="I248" s="99">
        <f>VLOOKUP(G248,m2mFormatLUT!$B$2:$D$17,2,FALSE)</f>
        <v>0</v>
      </c>
      <c r="J248" s="99" t="str">
        <f>IF(E248=m2mFormatLUT!$A$2,CONCATENATE(DEC2HEX(I248,1),DEC2HEX(H248,3)),CONCATENATE(DEC2HEX(240,2),DEC2HEX(I248,1),DEC2HEX(H248,5)))</f>
        <v>00F6</v>
      </c>
      <c r="K248" s="99">
        <v>0</v>
      </c>
      <c r="L248" s="99">
        <f>IF(I248=6,(LEN(K248)+1)*8,IF(I248=7,(1 + HEX2DEC(MID(K248,3,FIND(",",K248)-3)))*8,IF(I248=14,(LEN(K248)+1)*16,IF(I248=15,(1 + HEX2DEC(MID(K248,3,FIND(",",K248)-3)))*16,VLOOKUP(G248,m2mFormatLUT!$B$2:$D$17,3,FALSE)))))</f>
        <v>1</v>
      </c>
      <c r="N248" s="99" t="s">
        <v>1155</v>
      </c>
    </row>
    <row r="249" spans="1:14" x14ac:dyDescent="0.55000000000000004">
      <c r="A249" s="104" t="s">
        <v>807</v>
      </c>
      <c r="B249" s="105" t="s">
        <v>810</v>
      </c>
      <c r="C249" s="100" t="s">
        <v>265</v>
      </c>
      <c r="D249" s="106" t="s">
        <v>806</v>
      </c>
      <c r="E249" s="101" t="s">
        <v>1152</v>
      </c>
      <c r="F249" s="102">
        <v>0</v>
      </c>
      <c r="G249" s="100" t="s">
        <v>1153</v>
      </c>
      <c r="H249" s="99">
        <v>247</v>
      </c>
      <c r="I249" s="99">
        <f>VLOOKUP(G249,m2mFormatLUT!$B$2:$D$17,2,FALSE)</f>
        <v>0</v>
      </c>
      <c r="J249" s="99" t="str">
        <f>IF(E249=m2mFormatLUT!$A$2,CONCATENATE(DEC2HEX(I249,1),DEC2HEX(H249,3)),CONCATENATE(DEC2HEX(240,2),DEC2HEX(I249,1),DEC2HEX(H249,5)))</f>
        <v>00F7</v>
      </c>
      <c r="K249" s="99">
        <v>0</v>
      </c>
      <c r="L249" s="99">
        <f>IF(I249=6,(LEN(K249)+1)*8,IF(I249=7,(1 + HEX2DEC(MID(K249,3,FIND(",",K249)-3)))*8,IF(I249=14,(LEN(K249)+1)*16,IF(I249=15,(1 + HEX2DEC(MID(K249,3,FIND(",",K249)-3)))*16,VLOOKUP(G249,m2mFormatLUT!$B$2:$D$17,3,FALSE)))))</f>
        <v>1</v>
      </c>
    </row>
    <row r="250" spans="1:14" x14ac:dyDescent="0.55000000000000004">
      <c r="A250" s="99" t="s">
        <v>811</v>
      </c>
      <c r="B250" s="105" t="s">
        <v>812</v>
      </c>
      <c r="C250" s="100" t="s">
        <v>265</v>
      </c>
      <c r="D250" s="106" t="s">
        <v>806</v>
      </c>
      <c r="E250" s="101" t="s">
        <v>1152</v>
      </c>
      <c r="F250" s="102">
        <v>0</v>
      </c>
      <c r="G250" s="100" t="s">
        <v>1153</v>
      </c>
      <c r="H250" s="99">
        <v>248</v>
      </c>
      <c r="I250" s="99">
        <f>VLOOKUP(G250,m2mFormatLUT!$B$2:$D$17,2,FALSE)</f>
        <v>0</v>
      </c>
      <c r="J250" s="99" t="str">
        <f>IF(E250=m2mFormatLUT!$A$2,CONCATENATE(DEC2HEX(I250,1),DEC2HEX(H250,3)),CONCATENATE(DEC2HEX(240,2),DEC2HEX(I250,1),DEC2HEX(H250,5)))</f>
        <v>00F8</v>
      </c>
      <c r="K250" s="99">
        <v>0</v>
      </c>
      <c r="L250" s="99">
        <f>IF(I250=6,(LEN(K250)+1)*8,IF(I250=7,(1 + HEX2DEC(MID(K250,3,FIND(",",K250)-3)))*8,IF(I250=14,(LEN(K250)+1)*16,IF(I250=15,(1 + HEX2DEC(MID(K250,3,FIND(",",K250)-3)))*16,VLOOKUP(G250,m2mFormatLUT!$B$2:$D$17,3,FALSE)))))</f>
        <v>1</v>
      </c>
    </row>
    <row r="251" spans="1:14" x14ac:dyDescent="0.55000000000000004">
      <c r="A251" s="99" t="s">
        <v>813</v>
      </c>
      <c r="B251" s="105" t="s">
        <v>814</v>
      </c>
      <c r="C251" s="100" t="s">
        <v>265</v>
      </c>
      <c r="D251" s="106" t="s">
        <v>806</v>
      </c>
      <c r="E251" s="101" t="s">
        <v>1152</v>
      </c>
      <c r="F251" s="102">
        <v>0</v>
      </c>
      <c r="G251" s="100" t="s">
        <v>1153</v>
      </c>
      <c r="H251" s="99">
        <v>249</v>
      </c>
      <c r="I251" s="99">
        <f>VLOOKUP(G251,m2mFormatLUT!$B$2:$D$17,2,FALSE)</f>
        <v>0</v>
      </c>
      <c r="J251" s="99" t="str">
        <f>IF(E251=m2mFormatLUT!$A$2,CONCATENATE(DEC2HEX(I251,1),DEC2HEX(H251,3)),CONCATENATE(DEC2HEX(240,2),DEC2HEX(I251,1),DEC2HEX(H251,5)))</f>
        <v>00F9</v>
      </c>
      <c r="K251" s="99">
        <v>0</v>
      </c>
      <c r="L251" s="99">
        <f>IF(I251=6,(LEN(K251)+1)*8,IF(I251=7,(1 + HEX2DEC(MID(K251,3,FIND(",",K251)-3)))*8,IF(I251=14,(LEN(K251)+1)*16,IF(I251=15,(1 + HEX2DEC(MID(K251,3,FIND(",",K251)-3)))*16,VLOOKUP(G251,m2mFormatLUT!$B$2:$D$17,3,FALSE)))))</f>
        <v>1</v>
      </c>
    </row>
    <row r="252" spans="1:14" x14ac:dyDescent="0.55000000000000004">
      <c r="A252" s="107" t="s">
        <v>831</v>
      </c>
      <c r="B252" s="105" t="s">
        <v>832</v>
      </c>
      <c r="C252" s="100" t="s">
        <v>265</v>
      </c>
      <c r="D252" s="106" t="s">
        <v>806</v>
      </c>
      <c r="E252" s="101" t="s">
        <v>1152</v>
      </c>
      <c r="F252" s="102">
        <v>0</v>
      </c>
      <c r="G252" s="100" t="s">
        <v>1153</v>
      </c>
      <c r="H252" s="99">
        <v>250</v>
      </c>
      <c r="I252" s="99">
        <f>VLOOKUP(G252,m2mFormatLUT!$B$2:$D$17,2,FALSE)</f>
        <v>0</v>
      </c>
      <c r="J252" s="99" t="str">
        <f>IF(E252=m2mFormatLUT!$A$2,CONCATENATE(DEC2HEX(I252,1),DEC2HEX(H252,3)),CONCATENATE(DEC2HEX(240,2),DEC2HEX(I252,1),DEC2HEX(H252,5)))</f>
        <v>00FA</v>
      </c>
      <c r="K252" s="99">
        <v>0</v>
      </c>
      <c r="L252" s="99">
        <f>IF(I252=6,(LEN(K252)+1)*8,IF(I252=7,(1 + HEX2DEC(MID(K252,3,FIND(",",K252)-3)))*8,IF(I252=14,(LEN(K252)+1)*16,IF(I252=15,(1 + HEX2DEC(MID(K252,3,FIND(",",K252)-3)))*16,VLOOKUP(G252,m2mFormatLUT!$B$2:$D$17,3,FALSE)))))</f>
        <v>1</v>
      </c>
      <c r="N252" s="99" t="s">
        <v>1155</v>
      </c>
    </row>
    <row r="253" spans="1:14" x14ac:dyDescent="0.55000000000000004">
      <c r="A253" s="107" t="s">
        <v>833</v>
      </c>
      <c r="B253" s="105" t="s">
        <v>834</v>
      </c>
      <c r="C253" s="100" t="s">
        <v>265</v>
      </c>
      <c r="D253" s="106" t="s">
        <v>806</v>
      </c>
      <c r="E253" s="101" t="s">
        <v>1152</v>
      </c>
      <c r="F253" s="102">
        <v>0</v>
      </c>
      <c r="G253" s="100" t="s">
        <v>1153</v>
      </c>
      <c r="H253" s="99">
        <v>251</v>
      </c>
      <c r="I253" s="99">
        <f>VLOOKUP(G253,m2mFormatLUT!$B$2:$D$17,2,FALSE)</f>
        <v>0</v>
      </c>
      <c r="J253" s="99" t="str">
        <f>IF(E253=m2mFormatLUT!$A$2,CONCATENATE(DEC2HEX(I253,1),DEC2HEX(H253,3)),CONCATENATE(DEC2HEX(240,2),DEC2HEX(I253,1),DEC2HEX(H253,5)))</f>
        <v>00FB</v>
      </c>
      <c r="K253" s="99">
        <v>0</v>
      </c>
      <c r="L253" s="99">
        <f>IF(I253=6,(LEN(K253)+1)*8,IF(I253=7,(1 + HEX2DEC(MID(K253,3,FIND(",",K253)-3)))*8,IF(I253=14,(LEN(K253)+1)*16,IF(I253=15,(1 + HEX2DEC(MID(K253,3,FIND(",",K253)-3)))*16,VLOOKUP(G253,m2mFormatLUT!$B$2:$D$17,3,FALSE)))))</f>
        <v>1</v>
      </c>
    </row>
    <row r="254" spans="1:14" x14ac:dyDescent="0.55000000000000004">
      <c r="A254" s="104" t="s">
        <v>835</v>
      </c>
      <c r="B254" s="105" t="s">
        <v>836</v>
      </c>
      <c r="C254" s="100" t="s">
        <v>265</v>
      </c>
      <c r="D254" s="106" t="s">
        <v>806</v>
      </c>
      <c r="E254" s="101" t="s">
        <v>1152</v>
      </c>
      <c r="F254" s="102">
        <v>0</v>
      </c>
      <c r="G254" s="100" t="s">
        <v>1153</v>
      </c>
      <c r="H254" s="99">
        <v>252</v>
      </c>
      <c r="I254" s="99">
        <f>VLOOKUP(G254,m2mFormatLUT!$B$2:$D$17,2,FALSE)</f>
        <v>0</v>
      </c>
      <c r="J254" s="99" t="str">
        <f>IF(E254=m2mFormatLUT!$A$2,CONCATENATE(DEC2HEX(I254,1),DEC2HEX(H254,3)),CONCATENATE(DEC2HEX(240,2),DEC2HEX(I254,1),DEC2HEX(H254,5)))</f>
        <v>00FC</v>
      </c>
      <c r="K254" s="99">
        <v>0</v>
      </c>
      <c r="L254" s="99">
        <f>IF(I254=6,(LEN(K254)+1)*8,IF(I254=7,(1 + HEX2DEC(MID(K254,3,FIND(",",K254)-3)))*8,IF(I254=14,(LEN(K254)+1)*16,IF(I254=15,(1 + HEX2DEC(MID(K254,3,FIND(",",K254)-3)))*16,VLOOKUP(G254,m2mFormatLUT!$B$2:$D$17,3,FALSE)))))</f>
        <v>1</v>
      </c>
      <c r="N254" s="99" t="s">
        <v>1155</v>
      </c>
    </row>
    <row r="255" spans="1:14" x14ac:dyDescent="0.55000000000000004">
      <c r="A255" s="104" t="s">
        <v>837</v>
      </c>
      <c r="B255" s="105" t="s">
        <v>838</v>
      </c>
      <c r="C255" s="100" t="s">
        <v>265</v>
      </c>
      <c r="D255" s="106" t="s">
        <v>806</v>
      </c>
      <c r="E255" s="101" t="s">
        <v>1152</v>
      </c>
      <c r="F255" s="102">
        <v>0</v>
      </c>
      <c r="G255" s="100" t="s">
        <v>1153</v>
      </c>
      <c r="H255" s="99">
        <v>253</v>
      </c>
      <c r="I255" s="99">
        <f>VLOOKUP(G255,m2mFormatLUT!$B$2:$D$17,2,FALSE)</f>
        <v>0</v>
      </c>
      <c r="J255" s="99" t="str">
        <f>IF(E255=m2mFormatLUT!$A$2,CONCATENATE(DEC2HEX(I255,1),DEC2HEX(H255,3)),CONCATENATE(DEC2HEX(240,2),DEC2HEX(I255,1),DEC2HEX(H255,5)))</f>
        <v>00FD</v>
      </c>
      <c r="K255" s="99">
        <v>0</v>
      </c>
      <c r="L255" s="99">
        <f>IF(I255=6,(LEN(K255)+1)*8,IF(I255=7,(1 + HEX2DEC(MID(K255,3,FIND(",",K255)-3)))*8,IF(I255=14,(LEN(K255)+1)*16,IF(I255=15,(1 + HEX2DEC(MID(K255,3,FIND(",",K255)-3)))*16,VLOOKUP(G255,m2mFormatLUT!$B$2:$D$17,3,FALSE)))))</f>
        <v>1</v>
      </c>
    </row>
    <row r="256" spans="1:14" x14ac:dyDescent="0.55000000000000004">
      <c r="A256" s="107" t="s">
        <v>839</v>
      </c>
      <c r="B256" s="105" t="s">
        <v>840</v>
      </c>
      <c r="C256" s="100" t="s">
        <v>265</v>
      </c>
      <c r="D256" s="106" t="s">
        <v>806</v>
      </c>
      <c r="E256" s="101" t="s">
        <v>1152</v>
      </c>
      <c r="F256" s="102">
        <v>0</v>
      </c>
      <c r="G256" s="100" t="s">
        <v>1153</v>
      </c>
      <c r="H256" s="99">
        <v>254</v>
      </c>
      <c r="I256" s="99">
        <f>VLOOKUP(G256,m2mFormatLUT!$B$2:$D$17,2,FALSE)</f>
        <v>0</v>
      </c>
      <c r="J256" s="99" t="str">
        <f>IF(E256=m2mFormatLUT!$A$2,CONCATENATE(DEC2HEX(I256,1),DEC2HEX(H256,3)),CONCATENATE(DEC2HEX(240,2),DEC2HEX(I256,1),DEC2HEX(H256,5)))</f>
        <v>00FE</v>
      </c>
      <c r="K256" s="99">
        <v>0</v>
      </c>
      <c r="L256" s="99">
        <f>IF(I256=6,(LEN(K256)+1)*8,IF(I256=7,(1 + HEX2DEC(MID(K256,3,FIND(",",K256)-3)))*8,IF(I256=14,(LEN(K256)+1)*16,IF(I256=15,(1 + HEX2DEC(MID(K256,3,FIND(",",K256)-3)))*16,VLOOKUP(G256,m2mFormatLUT!$B$2:$D$17,3,FALSE)))))</f>
        <v>1</v>
      </c>
      <c r="N256" s="99" t="s">
        <v>1155</v>
      </c>
    </row>
    <row r="257" spans="1:14" x14ac:dyDescent="0.55000000000000004">
      <c r="A257" s="107" t="s">
        <v>841</v>
      </c>
      <c r="B257" s="105" t="s">
        <v>842</v>
      </c>
      <c r="C257" s="100" t="s">
        <v>265</v>
      </c>
      <c r="D257" s="106" t="s">
        <v>806</v>
      </c>
      <c r="E257" s="101" t="s">
        <v>1152</v>
      </c>
      <c r="F257" s="102">
        <v>0</v>
      </c>
      <c r="G257" s="100" t="s">
        <v>1153</v>
      </c>
      <c r="H257" s="99">
        <v>255</v>
      </c>
      <c r="I257" s="99">
        <f>VLOOKUP(G257,m2mFormatLUT!$B$2:$D$17,2,FALSE)</f>
        <v>0</v>
      </c>
      <c r="J257" s="99" t="str">
        <f>IF(E257=m2mFormatLUT!$A$2,CONCATENATE(DEC2HEX(I257,1),DEC2HEX(H257,3)),CONCATENATE(DEC2HEX(240,2),DEC2HEX(I257,1),DEC2HEX(H257,5)))</f>
        <v>00FF</v>
      </c>
      <c r="K257" s="99">
        <v>0</v>
      </c>
      <c r="L257" s="99">
        <f>IF(I257=6,(LEN(K257)+1)*8,IF(I257=7,(1 + HEX2DEC(MID(K257,3,FIND(",",K257)-3)))*8,IF(I257=14,(LEN(K257)+1)*16,IF(I257=15,(1 + HEX2DEC(MID(K257,3,FIND(",",K257)-3)))*16,VLOOKUP(G257,m2mFormatLUT!$B$2:$D$17,3,FALSE)))))</f>
        <v>1</v>
      </c>
    </row>
    <row r="258" spans="1:14" x14ac:dyDescent="0.55000000000000004">
      <c r="A258" s="107" t="s">
        <v>843</v>
      </c>
      <c r="B258" s="105" t="s">
        <v>844</v>
      </c>
      <c r="C258" s="100" t="s">
        <v>265</v>
      </c>
      <c r="D258" s="106" t="s">
        <v>806</v>
      </c>
      <c r="E258" s="101" t="s">
        <v>1152</v>
      </c>
      <c r="F258" s="102">
        <v>0</v>
      </c>
      <c r="G258" s="100" t="s">
        <v>1153</v>
      </c>
      <c r="H258" s="99">
        <v>256</v>
      </c>
      <c r="I258" s="99">
        <f>VLOOKUP(G258,m2mFormatLUT!$B$2:$D$17,2,FALSE)</f>
        <v>0</v>
      </c>
      <c r="J258" s="99" t="str">
        <f>IF(E258=m2mFormatLUT!$A$2,CONCATENATE(DEC2HEX(I258,1),DEC2HEX(H258,3)),CONCATENATE(DEC2HEX(240,2),DEC2HEX(I258,1),DEC2HEX(H258,5)))</f>
        <v>0100</v>
      </c>
      <c r="K258" s="99">
        <v>0</v>
      </c>
      <c r="L258" s="99">
        <f>IF(I258=6,(LEN(K258)+1)*8,IF(I258=7,(1 + HEX2DEC(MID(K258,3,FIND(",",K258)-3)))*8,IF(I258=14,(LEN(K258)+1)*16,IF(I258=15,(1 + HEX2DEC(MID(K258,3,FIND(",",K258)-3)))*16,VLOOKUP(G258,m2mFormatLUT!$B$2:$D$17,3,FALSE)))))</f>
        <v>1</v>
      </c>
    </row>
    <row r="259" spans="1:14" x14ac:dyDescent="0.55000000000000004">
      <c r="A259" s="107" t="s">
        <v>845</v>
      </c>
      <c r="B259" s="105" t="s">
        <v>846</v>
      </c>
      <c r="C259" s="100" t="s">
        <v>265</v>
      </c>
      <c r="D259" s="106" t="s">
        <v>806</v>
      </c>
      <c r="E259" s="101" t="s">
        <v>1152</v>
      </c>
      <c r="F259" s="102">
        <v>0</v>
      </c>
      <c r="G259" s="100" t="s">
        <v>1153</v>
      </c>
      <c r="H259" s="99">
        <v>257</v>
      </c>
      <c r="I259" s="99">
        <f>VLOOKUP(G259,m2mFormatLUT!$B$2:$D$17,2,FALSE)</f>
        <v>0</v>
      </c>
      <c r="J259" s="99" t="str">
        <f>IF(E259=m2mFormatLUT!$A$2,CONCATENATE(DEC2HEX(I259,1),DEC2HEX(H259,3)),CONCATENATE(DEC2HEX(240,2),DEC2HEX(I259,1),DEC2HEX(H259,5)))</f>
        <v>0101</v>
      </c>
      <c r="K259" s="99">
        <v>0</v>
      </c>
      <c r="L259" s="99">
        <f>IF(I259=6,(LEN(K259)+1)*8,IF(I259=7,(1 + HEX2DEC(MID(K259,3,FIND(",",K259)-3)))*8,IF(I259=14,(LEN(K259)+1)*16,IF(I259=15,(1 + HEX2DEC(MID(K259,3,FIND(",",K259)-3)))*16,VLOOKUP(G259,m2mFormatLUT!$B$2:$D$17,3,FALSE)))))</f>
        <v>1</v>
      </c>
    </row>
    <row r="260" spans="1:14" x14ac:dyDescent="0.55000000000000004">
      <c r="A260" s="104" t="s">
        <v>847</v>
      </c>
      <c r="B260" s="105" t="s">
        <v>848</v>
      </c>
      <c r="C260" s="100" t="s">
        <v>265</v>
      </c>
      <c r="D260" s="106" t="s">
        <v>806</v>
      </c>
      <c r="E260" s="101" t="s">
        <v>1152</v>
      </c>
      <c r="F260" s="102">
        <v>0</v>
      </c>
      <c r="G260" s="100" t="s">
        <v>1153</v>
      </c>
      <c r="H260" s="99">
        <v>258</v>
      </c>
      <c r="I260" s="99">
        <f>VLOOKUP(G260,m2mFormatLUT!$B$2:$D$17,2,FALSE)</f>
        <v>0</v>
      </c>
      <c r="J260" s="99" t="str">
        <f>IF(E260=m2mFormatLUT!$A$2,CONCATENATE(DEC2HEX(I260,1),DEC2HEX(H260,3)),CONCATENATE(DEC2HEX(240,2),DEC2HEX(I260,1),DEC2HEX(H260,5)))</f>
        <v>0102</v>
      </c>
      <c r="K260" s="99">
        <v>0</v>
      </c>
      <c r="L260" s="99">
        <f>IF(I260=6,(LEN(K260)+1)*8,IF(I260=7,(1 + HEX2DEC(MID(K260,3,FIND(",",K260)-3)))*8,IF(I260=14,(LEN(K260)+1)*16,IF(I260=15,(1 + HEX2DEC(MID(K260,3,FIND(",",K260)-3)))*16,VLOOKUP(G260,m2mFormatLUT!$B$2:$D$17,3,FALSE)))))</f>
        <v>1</v>
      </c>
      <c r="N260" s="99" t="s">
        <v>1155</v>
      </c>
    </row>
    <row r="261" spans="1:14" x14ac:dyDescent="0.55000000000000004">
      <c r="A261" s="104" t="s">
        <v>849</v>
      </c>
      <c r="B261" s="105" t="s">
        <v>850</v>
      </c>
      <c r="C261" s="100" t="s">
        <v>265</v>
      </c>
      <c r="D261" s="106" t="s">
        <v>806</v>
      </c>
      <c r="E261" s="101" t="s">
        <v>1152</v>
      </c>
      <c r="F261" s="102">
        <v>0</v>
      </c>
      <c r="G261" s="100" t="s">
        <v>1153</v>
      </c>
      <c r="H261" s="99">
        <v>259</v>
      </c>
      <c r="I261" s="99">
        <f>VLOOKUP(G261,m2mFormatLUT!$B$2:$D$17,2,FALSE)</f>
        <v>0</v>
      </c>
      <c r="J261" s="99" t="str">
        <f>IF(E261=m2mFormatLUT!$A$2,CONCATENATE(DEC2HEX(I261,1),DEC2HEX(H261,3)),CONCATENATE(DEC2HEX(240,2),DEC2HEX(I261,1),DEC2HEX(H261,5)))</f>
        <v>0103</v>
      </c>
      <c r="K261" s="99">
        <v>0</v>
      </c>
      <c r="L261" s="99">
        <f>IF(I261=6,(LEN(K261)+1)*8,IF(I261=7,(1 + HEX2DEC(MID(K261,3,FIND(",",K261)-3)))*8,IF(I261=14,(LEN(K261)+1)*16,IF(I261=15,(1 + HEX2DEC(MID(K261,3,FIND(",",K261)-3)))*16,VLOOKUP(G261,m2mFormatLUT!$B$2:$D$17,3,FALSE)))))</f>
        <v>1</v>
      </c>
    </row>
    <row r="262" spans="1:14" x14ac:dyDescent="0.55000000000000004">
      <c r="A262" s="104" t="s">
        <v>851</v>
      </c>
      <c r="B262" s="105" t="s">
        <v>852</v>
      </c>
      <c r="C262" s="100" t="s">
        <v>265</v>
      </c>
      <c r="D262" s="106" t="s">
        <v>806</v>
      </c>
      <c r="E262" s="101" t="s">
        <v>1152</v>
      </c>
      <c r="F262" s="102">
        <v>0</v>
      </c>
      <c r="G262" s="100" t="s">
        <v>1153</v>
      </c>
      <c r="H262" s="99">
        <v>260</v>
      </c>
      <c r="I262" s="99">
        <f>VLOOKUP(G262,m2mFormatLUT!$B$2:$D$17,2,FALSE)</f>
        <v>0</v>
      </c>
      <c r="J262" s="99" t="str">
        <f>IF(E262=m2mFormatLUT!$A$2,CONCATENATE(DEC2HEX(I262,1),DEC2HEX(H262,3)),CONCATENATE(DEC2HEX(240,2),DEC2HEX(I262,1),DEC2HEX(H262,5)))</f>
        <v>0104</v>
      </c>
      <c r="K262" s="99">
        <v>0</v>
      </c>
      <c r="L262" s="99">
        <f>IF(I262=6,(LEN(K262)+1)*8,IF(I262=7,(1 + HEX2DEC(MID(K262,3,FIND(",",K262)-3)))*8,IF(I262=14,(LEN(K262)+1)*16,IF(I262=15,(1 + HEX2DEC(MID(K262,3,FIND(",",K262)-3)))*16,VLOOKUP(G262,m2mFormatLUT!$B$2:$D$17,3,FALSE)))))</f>
        <v>1</v>
      </c>
    </row>
    <row r="263" spans="1:14" x14ac:dyDescent="0.55000000000000004">
      <c r="A263" s="104" t="s">
        <v>853</v>
      </c>
      <c r="B263" s="105" t="s">
        <v>854</v>
      </c>
      <c r="C263" s="100" t="s">
        <v>265</v>
      </c>
      <c r="D263" s="106" t="s">
        <v>806</v>
      </c>
      <c r="E263" s="101" t="s">
        <v>1152</v>
      </c>
      <c r="F263" s="102">
        <v>0</v>
      </c>
      <c r="G263" s="100" t="s">
        <v>1153</v>
      </c>
      <c r="H263" s="99">
        <v>261</v>
      </c>
      <c r="I263" s="99">
        <f>VLOOKUP(G263,m2mFormatLUT!$B$2:$D$17,2,FALSE)</f>
        <v>0</v>
      </c>
      <c r="J263" s="99" t="str">
        <f>IF(E263=m2mFormatLUT!$A$2,CONCATENATE(DEC2HEX(I263,1),DEC2HEX(H263,3)),CONCATENATE(DEC2HEX(240,2),DEC2HEX(I263,1),DEC2HEX(H263,5)))</f>
        <v>0105</v>
      </c>
      <c r="K263" s="99">
        <v>0</v>
      </c>
      <c r="L263" s="99">
        <f>IF(I263=6,(LEN(K263)+1)*8,IF(I263=7,(1 + HEX2DEC(MID(K263,3,FIND(",",K263)-3)))*8,IF(I263=14,(LEN(K263)+1)*16,IF(I263=15,(1 + HEX2DEC(MID(K263,3,FIND(",",K263)-3)))*16,VLOOKUP(G263,m2mFormatLUT!$B$2:$D$17,3,FALSE)))))</f>
        <v>1</v>
      </c>
    </row>
    <row r="264" spans="1:14" x14ac:dyDescent="0.55000000000000004">
      <c r="A264" s="107" t="s">
        <v>855</v>
      </c>
      <c r="B264" s="105" t="s">
        <v>856</v>
      </c>
      <c r="C264" s="100" t="s">
        <v>265</v>
      </c>
      <c r="D264" s="106" t="s">
        <v>806</v>
      </c>
      <c r="E264" s="101" t="s">
        <v>1152</v>
      </c>
      <c r="F264" s="102">
        <v>0</v>
      </c>
      <c r="G264" s="100" t="s">
        <v>1153</v>
      </c>
      <c r="H264" s="99">
        <v>262</v>
      </c>
      <c r="I264" s="99">
        <f>VLOOKUP(G264,m2mFormatLUT!$B$2:$D$17,2,FALSE)</f>
        <v>0</v>
      </c>
      <c r="J264" s="99" t="str">
        <f>IF(E264=m2mFormatLUT!$A$2,CONCATENATE(DEC2HEX(I264,1),DEC2HEX(H264,3)),CONCATENATE(DEC2HEX(240,2),DEC2HEX(I264,1),DEC2HEX(H264,5)))</f>
        <v>0106</v>
      </c>
      <c r="K264" s="99">
        <v>0</v>
      </c>
      <c r="L264" s="99">
        <f>IF(I264=6,(LEN(K264)+1)*8,IF(I264=7,(1 + HEX2DEC(MID(K264,3,FIND(",",K264)-3)))*8,IF(I264=14,(LEN(K264)+1)*16,IF(I264=15,(1 + HEX2DEC(MID(K264,3,FIND(",",K264)-3)))*16,VLOOKUP(G264,m2mFormatLUT!$B$2:$D$17,3,FALSE)))))</f>
        <v>1</v>
      </c>
      <c r="N264" s="99" t="s">
        <v>1155</v>
      </c>
    </row>
    <row r="265" spans="1:14" x14ac:dyDescent="0.55000000000000004">
      <c r="A265" s="107" t="s">
        <v>857</v>
      </c>
      <c r="B265" s="105" t="s">
        <v>858</v>
      </c>
      <c r="C265" s="100" t="s">
        <v>265</v>
      </c>
      <c r="D265" s="106" t="s">
        <v>806</v>
      </c>
      <c r="E265" s="101" t="s">
        <v>1152</v>
      </c>
      <c r="F265" s="102">
        <v>0</v>
      </c>
      <c r="G265" s="100" t="s">
        <v>1153</v>
      </c>
      <c r="H265" s="99">
        <v>263</v>
      </c>
      <c r="I265" s="99">
        <f>VLOOKUP(G265,m2mFormatLUT!$B$2:$D$17,2,FALSE)</f>
        <v>0</v>
      </c>
      <c r="J265" s="99" t="str">
        <f>IF(E265=m2mFormatLUT!$A$2,CONCATENATE(DEC2HEX(I265,1),DEC2HEX(H265,3)),CONCATENATE(DEC2HEX(240,2),DEC2HEX(I265,1),DEC2HEX(H265,5)))</f>
        <v>0107</v>
      </c>
      <c r="K265" s="99">
        <v>0</v>
      </c>
      <c r="L265" s="99">
        <f>IF(I265=6,(LEN(K265)+1)*8,IF(I265=7,(1 + HEX2DEC(MID(K265,3,FIND(",",K265)-3)))*8,IF(I265=14,(LEN(K265)+1)*16,IF(I265=15,(1 + HEX2DEC(MID(K265,3,FIND(",",K265)-3)))*16,VLOOKUP(G265,m2mFormatLUT!$B$2:$D$17,3,FALSE)))))</f>
        <v>1</v>
      </c>
    </row>
    <row r="266" spans="1:14" x14ac:dyDescent="0.55000000000000004">
      <c r="A266" s="107" t="s">
        <v>859</v>
      </c>
      <c r="B266" s="105" t="s">
        <v>860</v>
      </c>
      <c r="C266" s="100" t="s">
        <v>265</v>
      </c>
      <c r="D266" s="106" t="s">
        <v>806</v>
      </c>
      <c r="E266" s="101" t="s">
        <v>1152</v>
      </c>
      <c r="F266" s="102">
        <v>0</v>
      </c>
      <c r="G266" s="100" t="s">
        <v>1153</v>
      </c>
      <c r="H266" s="99">
        <v>264</v>
      </c>
      <c r="I266" s="99">
        <f>VLOOKUP(G266,m2mFormatLUT!$B$2:$D$17,2,FALSE)</f>
        <v>0</v>
      </c>
      <c r="J266" s="99" t="str">
        <f>IF(E266=m2mFormatLUT!$A$2,CONCATENATE(DEC2HEX(I266,1),DEC2HEX(H266,3)),CONCATENATE(DEC2HEX(240,2),DEC2HEX(I266,1),DEC2HEX(H266,5)))</f>
        <v>0108</v>
      </c>
      <c r="K266" s="99">
        <v>0</v>
      </c>
      <c r="L266" s="99">
        <f>IF(I266=6,(LEN(K266)+1)*8,IF(I266=7,(1 + HEX2DEC(MID(K266,3,FIND(",",K266)-3)))*8,IF(I266=14,(LEN(K266)+1)*16,IF(I266=15,(1 + HEX2DEC(MID(K266,3,FIND(",",K266)-3)))*16,VLOOKUP(G266,m2mFormatLUT!$B$2:$D$17,3,FALSE)))))</f>
        <v>1</v>
      </c>
    </row>
    <row r="267" spans="1:14" x14ac:dyDescent="0.55000000000000004">
      <c r="A267" s="107" t="s">
        <v>861</v>
      </c>
      <c r="B267" s="105" t="s">
        <v>862</v>
      </c>
      <c r="C267" s="100" t="s">
        <v>265</v>
      </c>
      <c r="D267" s="106" t="s">
        <v>806</v>
      </c>
      <c r="E267" s="101" t="s">
        <v>1152</v>
      </c>
      <c r="F267" s="102">
        <v>0</v>
      </c>
      <c r="G267" s="100" t="s">
        <v>1153</v>
      </c>
      <c r="H267" s="99">
        <v>265</v>
      </c>
      <c r="I267" s="99">
        <f>VLOOKUP(G267,m2mFormatLUT!$B$2:$D$17,2,FALSE)</f>
        <v>0</v>
      </c>
      <c r="J267" s="99" t="str">
        <f>IF(E267=m2mFormatLUT!$A$2,CONCATENATE(DEC2HEX(I267,1),DEC2HEX(H267,3)),CONCATENATE(DEC2HEX(240,2),DEC2HEX(I267,1),DEC2HEX(H267,5)))</f>
        <v>0109</v>
      </c>
      <c r="K267" s="99">
        <v>0</v>
      </c>
      <c r="L267" s="99">
        <f>IF(I267=6,(LEN(K267)+1)*8,IF(I267=7,(1 + HEX2DEC(MID(K267,3,FIND(",",K267)-3)))*8,IF(I267=14,(LEN(K267)+1)*16,IF(I267=15,(1 + HEX2DEC(MID(K267,3,FIND(",",K267)-3)))*16,VLOOKUP(G267,m2mFormatLUT!$B$2:$D$17,3,FALSE)))))</f>
        <v>1</v>
      </c>
    </row>
    <row r="268" spans="1:14" x14ac:dyDescent="0.55000000000000004">
      <c r="A268" s="104" t="s">
        <v>863</v>
      </c>
      <c r="B268" s="105" t="s">
        <v>864</v>
      </c>
      <c r="C268" s="100" t="s">
        <v>265</v>
      </c>
      <c r="D268" s="106" t="s">
        <v>806</v>
      </c>
      <c r="E268" s="101" t="s">
        <v>1152</v>
      </c>
      <c r="F268" s="102">
        <v>0</v>
      </c>
      <c r="G268" s="100" t="s">
        <v>1153</v>
      </c>
      <c r="H268" s="99">
        <v>266</v>
      </c>
      <c r="I268" s="99">
        <f>VLOOKUP(G268,m2mFormatLUT!$B$2:$D$17,2,FALSE)</f>
        <v>0</v>
      </c>
      <c r="J268" s="99" t="str">
        <f>IF(E268=m2mFormatLUT!$A$2,CONCATENATE(DEC2HEX(I268,1),DEC2HEX(H268,3)),CONCATENATE(DEC2HEX(240,2),DEC2HEX(I268,1),DEC2HEX(H268,5)))</f>
        <v>010A</v>
      </c>
      <c r="K268" s="99">
        <v>0</v>
      </c>
      <c r="L268" s="99">
        <f>IF(I268=6,(LEN(K268)+1)*8,IF(I268=7,(1 + HEX2DEC(MID(K268,3,FIND(",",K268)-3)))*8,IF(I268=14,(LEN(K268)+1)*16,IF(I268=15,(1 + HEX2DEC(MID(K268,3,FIND(",",K268)-3)))*16,VLOOKUP(G268,m2mFormatLUT!$B$2:$D$17,3,FALSE)))))</f>
        <v>1</v>
      </c>
      <c r="N268" s="99" t="s">
        <v>1155</v>
      </c>
    </row>
    <row r="269" spans="1:14" x14ac:dyDescent="0.55000000000000004">
      <c r="A269" s="104" t="s">
        <v>865</v>
      </c>
      <c r="B269" s="105" t="s">
        <v>866</v>
      </c>
      <c r="C269" s="100" t="s">
        <v>265</v>
      </c>
      <c r="D269" s="106" t="s">
        <v>806</v>
      </c>
      <c r="E269" s="101" t="s">
        <v>1152</v>
      </c>
      <c r="F269" s="102">
        <v>0</v>
      </c>
      <c r="G269" s="100" t="s">
        <v>1153</v>
      </c>
      <c r="H269" s="99">
        <v>267</v>
      </c>
      <c r="I269" s="99">
        <f>VLOOKUP(G269,m2mFormatLUT!$B$2:$D$17,2,FALSE)</f>
        <v>0</v>
      </c>
      <c r="J269" s="99" t="str">
        <f>IF(E269=m2mFormatLUT!$A$2,CONCATENATE(DEC2HEX(I269,1),DEC2HEX(H269,3)),CONCATENATE(DEC2HEX(240,2),DEC2HEX(I269,1),DEC2HEX(H269,5)))</f>
        <v>010B</v>
      </c>
      <c r="K269" s="99">
        <v>0</v>
      </c>
      <c r="L269" s="99">
        <f>IF(I269=6,(LEN(K269)+1)*8,IF(I269=7,(1 + HEX2DEC(MID(K269,3,FIND(",",K269)-3)))*8,IF(I269=14,(LEN(K269)+1)*16,IF(I269=15,(1 + HEX2DEC(MID(K269,3,FIND(",",K269)-3)))*16,VLOOKUP(G269,m2mFormatLUT!$B$2:$D$17,3,FALSE)))))</f>
        <v>1</v>
      </c>
    </row>
    <row r="270" spans="1:14" x14ac:dyDescent="0.55000000000000004">
      <c r="A270" s="104" t="s">
        <v>867</v>
      </c>
      <c r="B270" s="105" t="s">
        <v>868</v>
      </c>
      <c r="C270" s="100" t="s">
        <v>265</v>
      </c>
      <c r="D270" s="106" t="s">
        <v>806</v>
      </c>
      <c r="E270" s="101" t="s">
        <v>1152</v>
      </c>
      <c r="F270" s="102">
        <v>0</v>
      </c>
      <c r="G270" s="100" t="s">
        <v>1153</v>
      </c>
      <c r="H270" s="99">
        <v>268</v>
      </c>
      <c r="I270" s="99">
        <f>VLOOKUP(G270,m2mFormatLUT!$B$2:$D$17,2,FALSE)</f>
        <v>0</v>
      </c>
      <c r="J270" s="99" t="str">
        <f>IF(E270=m2mFormatLUT!$A$2,CONCATENATE(DEC2HEX(I270,1),DEC2HEX(H270,3)),CONCATENATE(DEC2HEX(240,2),DEC2HEX(I270,1),DEC2HEX(H270,5)))</f>
        <v>010C</v>
      </c>
      <c r="K270" s="99">
        <v>0</v>
      </c>
      <c r="L270" s="99">
        <f>IF(I270=6,(LEN(K270)+1)*8,IF(I270=7,(1 + HEX2DEC(MID(K270,3,FIND(",",K270)-3)))*8,IF(I270=14,(LEN(K270)+1)*16,IF(I270=15,(1 + HEX2DEC(MID(K270,3,FIND(",",K270)-3)))*16,VLOOKUP(G270,m2mFormatLUT!$B$2:$D$17,3,FALSE)))))</f>
        <v>1</v>
      </c>
    </row>
    <row r="271" spans="1:14" x14ac:dyDescent="0.55000000000000004">
      <c r="A271" s="104" t="s">
        <v>869</v>
      </c>
      <c r="B271" s="105" t="s">
        <v>870</v>
      </c>
      <c r="C271" s="100" t="s">
        <v>265</v>
      </c>
      <c r="D271" s="106" t="s">
        <v>806</v>
      </c>
      <c r="E271" s="101" t="s">
        <v>1152</v>
      </c>
      <c r="F271" s="102">
        <v>0</v>
      </c>
      <c r="G271" s="100" t="s">
        <v>1153</v>
      </c>
      <c r="H271" s="99">
        <v>269</v>
      </c>
      <c r="I271" s="99">
        <f>VLOOKUP(G271,m2mFormatLUT!$B$2:$D$17,2,FALSE)</f>
        <v>0</v>
      </c>
      <c r="J271" s="99" t="str">
        <f>IF(E271=m2mFormatLUT!$A$2,CONCATENATE(DEC2HEX(I271,1),DEC2HEX(H271,3)),CONCATENATE(DEC2HEX(240,2),DEC2HEX(I271,1),DEC2HEX(H271,5)))</f>
        <v>010D</v>
      </c>
      <c r="K271" s="99">
        <v>0</v>
      </c>
      <c r="L271" s="99">
        <f>IF(I271=6,(LEN(K271)+1)*8,IF(I271=7,(1 + HEX2DEC(MID(K271,3,FIND(",",K271)-3)))*8,IF(I271=14,(LEN(K271)+1)*16,IF(I271=15,(1 + HEX2DEC(MID(K271,3,FIND(",",K271)-3)))*16,VLOOKUP(G271,m2mFormatLUT!$B$2:$D$17,3,FALSE)))))</f>
        <v>1</v>
      </c>
    </row>
    <row r="272" spans="1:14" x14ac:dyDescent="0.55000000000000004">
      <c r="A272" s="107" t="s">
        <v>871</v>
      </c>
      <c r="B272" s="105" t="s">
        <v>872</v>
      </c>
      <c r="C272" s="100" t="s">
        <v>265</v>
      </c>
      <c r="D272" s="106" t="s">
        <v>806</v>
      </c>
      <c r="E272" s="101" t="s">
        <v>1152</v>
      </c>
      <c r="F272" s="102">
        <v>0</v>
      </c>
      <c r="G272" s="100" t="s">
        <v>1153</v>
      </c>
      <c r="H272" s="99">
        <v>270</v>
      </c>
      <c r="I272" s="99">
        <f>VLOOKUP(G272,m2mFormatLUT!$B$2:$D$17,2,FALSE)</f>
        <v>0</v>
      </c>
      <c r="J272" s="99" t="str">
        <f>IF(E272=m2mFormatLUT!$A$2,CONCATENATE(DEC2HEX(I272,1),DEC2HEX(H272,3)),CONCATENATE(DEC2HEX(240,2),DEC2HEX(I272,1),DEC2HEX(H272,5)))</f>
        <v>010E</v>
      </c>
      <c r="K272" s="99">
        <v>0</v>
      </c>
      <c r="L272" s="99">
        <f>IF(I272=6,(LEN(K272)+1)*8,IF(I272=7,(1 + HEX2DEC(MID(K272,3,FIND(",",K272)-3)))*8,IF(I272=14,(LEN(K272)+1)*16,IF(I272=15,(1 + HEX2DEC(MID(K272,3,FIND(",",K272)-3)))*16,VLOOKUP(G272,m2mFormatLUT!$B$2:$D$17,3,FALSE)))))</f>
        <v>1</v>
      </c>
      <c r="N272" s="99" t="s">
        <v>1155</v>
      </c>
    </row>
    <row r="273" spans="1:14" x14ac:dyDescent="0.55000000000000004">
      <c r="A273" s="107" t="s">
        <v>873</v>
      </c>
      <c r="B273" s="105" t="s">
        <v>874</v>
      </c>
      <c r="C273" s="100" t="s">
        <v>265</v>
      </c>
      <c r="D273" s="106" t="s">
        <v>806</v>
      </c>
      <c r="E273" s="101" t="s">
        <v>1152</v>
      </c>
      <c r="F273" s="102">
        <v>0</v>
      </c>
      <c r="G273" s="100" t="s">
        <v>1153</v>
      </c>
      <c r="H273" s="99">
        <v>271</v>
      </c>
      <c r="I273" s="99">
        <f>VLOOKUP(G273,m2mFormatLUT!$B$2:$D$17,2,FALSE)</f>
        <v>0</v>
      </c>
      <c r="J273" s="99" t="str">
        <f>IF(E273=m2mFormatLUT!$A$2,CONCATENATE(DEC2HEX(I273,1),DEC2HEX(H273,3)),CONCATENATE(DEC2HEX(240,2),DEC2HEX(I273,1),DEC2HEX(H273,5)))</f>
        <v>010F</v>
      </c>
      <c r="K273" s="99">
        <v>0</v>
      </c>
      <c r="L273" s="99">
        <f>IF(I273=6,(LEN(K273)+1)*8,IF(I273=7,(1 + HEX2DEC(MID(K273,3,FIND(",",K273)-3)))*8,IF(I273=14,(LEN(K273)+1)*16,IF(I273=15,(1 + HEX2DEC(MID(K273,3,FIND(",",K273)-3)))*16,VLOOKUP(G273,m2mFormatLUT!$B$2:$D$17,3,FALSE)))))</f>
        <v>1</v>
      </c>
    </row>
    <row r="274" spans="1:14" x14ac:dyDescent="0.55000000000000004">
      <c r="A274" s="107" t="s">
        <v>875</v>
      </c>
      <c r="B274" s="105" t="s">
        <v>876</v>
      </c>
      <c r="C274" s="100" t="s">
        <v>265</v>
      </c>
      <c r="D274" s="106" t="s">
        <v>806</v>
      </c>
      <c r="E274" s="101" t="s">
        <v>1152</v>
      </c>
      <c r="F274" s="102">
        <v>0</v>
      </c>
      <c r="G274" s="100" t="s">
        <v>1153</v>
      </c>
      <c r="H274" s="99">
        <v>272</v>
      </c>
      <c r="I274" s="99">
        <f>VLOOKUP(G274,m2mFormatLUT!$B$2:$D$17,2,FALSE)</f>
        <v>0</v>
      </c>
      <c r="J274" s="99" t="str">
        <f>IF(E274=m2mFormatLUT!$A$2,CONCATENATE(DEC2HEX(I274,1),DEC2HEX(H274,3)),CONCATENATE(DEC2HEX(240,2),DEC2HEX(I274,1),DEC2HEX(H274,5)))</f>
        <v>0110</v>
      </c>
      <c r="K274" s="99">
        <v>0</v>
      </c>
      <c r="L274" s="99">
        <f>IF(I274=6,(LEN(K274)+1)*8,IF(I274=7,(1 + HEX2DEC(MID(K274,3,FIND(",",K274)-3)))*8,IF(I274=14,(LEN(K274)+1)*16,IF(I274=15,(1 + HEX2DEC(MID(K274,3,FIND(",",K274)-3)))*16,VLOOKUP(G274,m2mFormatLUT!$B$2:$D$17,3,FALSE)))))</f>
        <v>1</v>
      </c>
    </row>
    <row r="275" spans="1:14" x14ac:dyDescent="0.55000000000000004">
      <c r="A275" s="107" t="s">
        <v>877</v>
      </c>
      <c r="B275" s="105" t="s">
        <v>878</v>
      </c>
      <c r="C275" s="100" t="s">
        <v>265</v>
      </c>
      <c r="D275" s="106" t="s">
        <v>806</v>
      </c>
      <c r="E275" s="101" t="s">
        <v>1152</v>
      </c>
      <c r="F275" s="102">
        <v>0</v>
      </c>
      <c r="G275" s="100" t="s">
        <v>1153</v>
      </c>
      <c r="H275" s="99">
        <v>273</v>
      </c>
      <c r="I275" s="99">
        <f>VLOOKUP(G275,m2mFormatLUT!$B$2:$D$17,2,FALSE)</f>
        <v>0</v>
      </c>
      <c r="J275" s="99" t="str">
        <f>IF(E275=m2mFormatLUT!$A$2,CONCATENATE(DEC2HEX(I275,1),DEC2HEX(H275,3)),CONCATENATE(DEC2HEX(240,2),DEC2HEX(I275,1),DEC2HEX(H275,5)))</f>
        <v>0111</v>
      </c>
      <c r="K275" s="99">
        <v>0</v>
      </c>
      <c r="L275" s="99">
        <f>IF(I275=6,(LEN(K275)+1)*8,IF(I275=7,(1 + HEX2DEC(MID(K275,3,FIND(",",K275)-3)))*8,IF(I275=14,(LEN(K275)+1)*16,IF(I275=15,(1 + HEX2DEC(MID(K275,3,FIND(",",K275)-3)))*16,VLOOKUP(G275,m2mFormatLUT!$B$2:$D$17,3,FALSE)))))</f>
        <v>1</v>
      </c>
    </row>
    <row r="276" spans="1:14" x14ac:dyDescent="0.55000000000000004">
      <c r="A276" s="104" t="s">
        <v>879</v>
      </c>
      <c r="B276" s="105" t="s">
        <v>880</v>
      </c>
      <c r="C276" s="100" t="s">
        <v>265</v>
      </c>
      <c r="D276" s="106" t="s">
        <v>806</v>
      </c>
      <c r="E276" s="101" t="s">
        <v>1152</v>
      </c>
      <c r="F276" s="102">
        <v>0</v>
      </c>
      <c r="G276" s="100" t="s">
        <v>1153</v>
      </c>
      <c r="H276" s="99">
        <v>274</v>
      </c>
      <c r="I276" s="99">
        <f>VLOOKUP(G276,m2mFormatLUT!$B$2:$D$17,2,FALSE)</f>
        <v>0</v>
      </c>
      <c r="J276" s="99" t="str">
        <f>IF(E276=m2mFormatLUT!$A$2,CONCATENATE(DEC2HEX(I276,1),DEC2HEX(H276,3)),CONCATENATE(DEC2HEX(240,2),DEC2HEX(I276,1),DEC2HEX(H276,5)))</f>
        <v>0112</v>
      </c>
      <c r="K276" s="99">
        <v>0</v>
      </c>
      <c r="L276" s="99">
        <f>IF(I276=6,(LEN(K276)+1)*8,IF(I276=7,(1 + HEX2DEC(MID(K276,3,FIND(",",K276)-3)))*8,IF(I276=14,(LEN(K276)+1)*16,IF(I276=15,(1 + HEX2DEC(MID(K276,3,FIND(",",K276)-3)))*16,VLOOKUP(G276,m2mFormatLUT!$B$2:$D$17,3,FALSE)))))</f>
        <v>1</v>
      </c>
      <c r="N276" s="99" t="s">
        <v>1155</v>
      </c>
    </row>
    <row r="277" spans="1:14" x14ac:dyDescent="0.55000000000000004">
      <c r="A277" s="104" t="s">
        <v>881</v>
      </c>
      <c r="B277" s="105" t="s">
        <v>882</v>
      </c>
      <c r="C277" s="100" t="s">
        <v>265</v>
      </c>
      <c r="D277" s="106" t="s">
        <v>806</v>
      </c>
      <c r="E277" s="101" t="s">
        <v>1152</v>
      </c>
      <c r="F277" s="102">
        <v>0</v>
      </c>
      <c r="G277" s="100" t="s">
        <v>1153</v>
      </c>
      <c r="H277" s="99">
        <v>275</v>
      </c>
      <c r="I277" s="99">
        <f>VLOOKUP(G277,m2mFormatLUT!$B$2:$D$17,2,FALSE)</f>
        <v>0</v>
      </c>
      <c r="J277" s="99" t="str">
        <f>IF(E277=m2mFormatLUT!$A$2,CONCATENATE(DEC2HEX(I277,1),DEC2HEX(H277,3)),CONCATENATE(DEC2HEX(240,2),DEC2HEX(I277,1),DEC2HEX(H277,5)))</f>
        <v>0113</v>
      </c>
      <c r="K277" s="99">
        <v>0</v>
      </c>
      <c r="L277" s="99">
        <f>IF(I277=6,(LEN(K277)+1)*8,IF(I277=7,(1 + HEX2DEC(MID(K277,3,FIND(",",K277)-3)))*8,IF(I277=14,(LEN(K277)+1)*16,IF(I277=15,(1 + HEX2DEC(MID(K277,3,FIND(",",K277)-3)))*16,VLOOKUP(G277,m2mFormatLUT!$B$2:$D$17,3,FALSE)))))</f>
        <v>1</v>
      </c>
    </row>
    <row r="278" spans="1:14" x14ac:dyDescent="0.55000000000000004">
      <c r="A278" s="104" t="s">
        <v>883</v>
      </c>
      <c r="B278" s="105" t="s">
        <v>884</v>
      </c>
      <c r="C278" s="100" t="s">
        <v>265</v>
      </c>
      <c r="D278" s="106" t="s">
        <v>806</v>
      </c>
      <c r="E278" s="101" t="s">
        <v>1152</v>
      </c>
      <c r="F278" s="102">
        <v>0</v>
      </c>
      <c r="G278" s="100" t="s">
        <v>1153</v>
      </c>
      <c r="H278" s="99">
        <v>276</v>
      </c>
      <c r="I278" s="99">
        <f>VLOOKUP(G278,m2mFormatLUT!$B$2:$D$17,2,FALSE)</f>
        <v>0</v>
      </c>
      <c r="J278" s="99" t="str">
        <f>IF(E278=m2mFormatLUT!$A$2,CONCATENATE(DEC2HEX(I278,1),DEC2HEX(H278,3)),CONCATENATE(DEC2HEX(240,2),DEC2HEX(I278,1),DEC2HEX(H278,5)))</f>
        <v>0114</v>
      </c>
      <c r="K278" s="99">
        <v>0</v>
      </c>
      <c r="L278" s="99">
        <f>IF(I278=6,(LEN(K278)+1)*8,IF(I278=7,(1 + HEX2DEC(MID(K278,3,FIND(",",K278)-3)))*8,IF(I278=14,(LEN(K278)+1)*16,IF(I278=15,(1 + HEX2DEC(MID(K278,3,FIND(",",K278)-3)))*16,VLOOKUP(G278,m2mFormatLUT!$B$2:$D$17,3,FALSE)))))</f>
        <v>1</v>
      </c>
    </row>
    <row r="279" spans="1:14" x14ac:dyDescent="0.55000000000000004">
      <c r="A279" s="104" t="s">
        <v>885</v>
      </c>
      <c r="B279" s="105" t="s">
        <v>886</v>
      </c>
      <c r="C279" s="100" t="s">
        <v>265</v>
      </c>
      <c r="D279" s="106" t="s">
        <v>806</v>
      </c>
      <c r="E279" s="101" t="s">
        <v>1152</v>
      </c>
      <c r="F279" s="102">
        <v>0</v>
      </c>
      <c r="G279" s="100" t="s">
        <v>1153</v>
      </c>
      <c r="H279" s="99">
        <v>277</v>
      </c>
      <c r="I279" s="99">
        <f>VLOOKUP(G279,m2mFormatLUT!$B$2:$D$17,2,FALSE)</f>
        <v>0</v>
      </c>
      <c r="J279" s="99" t="str">
        <f>IF(E279=m2mFormatLUT!$A$2,CONCATENATE(DEC2HEX(I279,1),DEC2HEX(H279,3)),CONCATENATE(DEC2HEX(240,2),DEC2HEX(I279,1),DEC2HEX(H279,5)))</f>
        <v>0115</v>
      </c>
      <c r="K279" s="99">
        <v>0</v>
      </c>
      <c r="L279" s="99">
        <f>IF(I279=6,(LEN(K279)+1)*8,IF(I279=7,(1 + HEX2DEC(MID(K279,3,FIND(",",K279)-3)))*8,IF(I279=14,(LEN(K279)+1)*16,IF(I279=15,(1 + HEX2DEC(MID(K279,3,FIND(",",K279)-3)))*16,VLOOKUP(G279,m2mFormatLUT!$B$2:$D$17,3,FALSE)))))</f>
        <v>1</v>
      </c>
    </row>
    <row r="280" spans="1:14" x14ac:dyDescent="0.55000000000000004">
      <c r="A280" s="107" t="s">
        <v>887</v>
      </c>
      <c r="B280" s="105" t="s">
        <v>888</v>
      </c>
      <c r="C280" s="100" t="s">
        <v>265</v>
      </c>
      <c r="D280" s="106" t="s">
        <v>806</v>
      </c>
      <c r="E280" s="101" t="s">
        <v>1152</v>
      </c>
      <c r="F280" s="102">
        <v>0</v>
      </c>
      <c r="G280" s="100" t="s">
        <v>1153</v>
      </c>
      <c r="H280" s="99">
        <v>278</v>
      </c>
      <c r="I280" s="99">
        <f>VLOOKUP(G280,m2mFormatLUT!$B$2:$D$17,2,FALSE)</f>
        <v>0</v>
      </c>
      <c r="J280" s="99" t="str">
        <f>IF(E280=m2mFormatLUT!$A$2,CONCATENATE(DEC2HEX(I280,1),DEC2HEX(H280,3)),CONCATENATE(DEC2HEX(240,2),DEC2HEX(I280,1),DEC2HEX(H280,5)))</f>
        <v>0116</v>
      </c>
      <c r="K280" s="99">
        <v>0</v>
      </c>
      <c r="L280" s="99">
        <f>IF(I280=6,(LEN(K280)+1)*8,IF(I280=7,(1 + HEX2DEC(MID(K280,3,FIND(",",K280)-3)))*8,IF(I280=14,(LEN(K280)+1)*16,IF(I280=15,(1 + HEX2DEC(MID(K280,3,FIND(",",K280)-3)))*16,VLOOKUP(G280,m2mFormatLUT!$B$2:$D$17,3,FALSE)))))</f>
        <v>1</v>
      </c>
      <c r="N280" s="99" t="s">
        <v>1155</v>
      </c>
    </row>
    <row r="281" spans="1:14" x14ac:dyDescent="0.55000000000000004">
      <c r="A281" s="107" t="s">
        <v>889</v>
      </c>
      <c r="B281" s="105" t="s">
        <v>890</v>
      </c>
      <c r="C281" s="100" t="s">
        <v>265</v>
      </c>
      <c r="D281" s="106" t="s">
        <v>806</v>
      </c>
      <c r="E281" s="101" t="s">
        <v>1152</v>
      </c>
      <c r="F281" s="102">
        <v>0</v>
      </c>
      <c r="G281" s="100" t="s">
        <v>1153</v>
      </c>
      <c r="H281" s="99">
        <v>279</v>
      </c>
      <c r="I281" s="99">
        <f>VLOOKUP(G281,m2mFormatLUT!$B$2:$D$17,2,FALSE)</f>
        <v>0</v>
      </c>
      <c r="J281" s="99" t="str">
        <f>IF(E281=m2mFormatLUT!$A$2,CONCATENATE(DEC2HEX(I281,1),DEC2HEX(H281,3)),CONCATENATE(DEC2HEX(240,2),DEC2HEX(I281,1),DEC2HEX(H281,5)))</f>
        <v>0117</v>
      </c>
      <c r="K281" s="99">
        <v>0</v>
      </c>
      <c r="L281" s="99">
        <f>IF(I281=6,(LEN(K281)+1)*8,IF(I281=7,(1 + HEX2DEC(MID(K281,3,FIND(",",K281)-3)))*8,IF(I281=14,(LEN(K281)+1)*16,IF(I281=15,(1 + HEX2DEC(MID(K281,3,FIND(",",K281)-3)))*16,VLOOKUP(G281,m2mFormatLUT!$B$2:$D$17,3,FALSE)))))</f>
        <v>1</v>
      </c>
    </row>
    <row r="282" spans="1:14" x14ac:dyDescent="0.55000000000000004">
      <c r="A282" s="107" t="s">
        <v>891</v>
      </c>
      <c r="B282" s="105" t="s">
        <v>892</v>
      </c>
      <c r="C282" s="100" t="s">
        <v>265</v>
      </c>
      <c r="D282" s="106" t="s">
        <v>806</v>
      </c>
      <c r="E282" s="101" t="s">
        <v>1152</v>
      </c>
      <c r="F282" s="102">
        <v>0</v>
      </c>
      <c r="G282" s="100" t="s">
        <v>1153</v>
      </c>
      <c r="H282" s="99">
        <v>280</v>
      </c>
      <c r="I282" s="99">
        <f>VLOOKUP(G282,m2mFormatLUT!$B$2:$D$17,2,FALSE)</f>
        <v>0</v>
      </c>
      <c r="J282" s="99" t="str">
        <f>IF(E282=m2mFormatLUT!$A$2,CONCATENATE(DEC2HEX(I282,1),DEC2HEX(H282,3)),CONCATENATE(DEC2HEX(240,2),DEC2HEX(I282,1),DEC2HEX(H282,5)))</f>
        <v>0118</v>
      </c>
      <c r="K282" s="99">
        <v>0</v>
      </c>
      <c r="L282" s="99">
        <f>IF(I282=6,(LEN(K282)+1)*8,IF(I282=7,(1 + HEX2DEC(MID(K282,3,FIND(",",K282)-3)))*8,IF(I282=14,(LEN(K282)+1)*16,IF(I282=15,(1 + HEX2DEC(MID(K282,3,FIND(",",K282)-3)))*16,VLOOKUP(G282,m2mFormatLUT!$B$2:$D$17,3,FALSE)))))</f>
        <v>1</v>
      </c>
    </row>
    <row r="283" spans="1:14" x14ac:dyDescent="0.55000000000000004">
      <c r="A283" s="107" t="s">
        <v>893</v>
      </c>
      <c r="B283" s="105" t="s">
        <v>894</v>
      </c>
      <c r="C283" s="100" t="s">
        <v>265</v>
      </c>
      <c r="D283" s="106" t="s">
        <v>806</v>
      </c>
      <c r="E283" s="101" t="s">
        <v>1152</v>
      </c>
      <c r="F283" s="102">
        <v>0</v>
      </c>
      <c r="G283" s="100" t="s">
        <v>1153</v>
      </c>
      <c r="H283" s="99">
        <v>281</v>
      </c>
      <c r="I283" s="99">
        <f>VLOOKUP(G283,m2mFormatLUT!$B$2:$D$17,2,FALSE)</f>
        <v>0</v>
      </c>
      <c r="J283" s="99" t="str">
        <f>IF(E283=m2mFormatLUT!$A$2,CONCATENATE(DEC2HEX(I283,1),DEC2HEX(H283,3)),CONCATENATE(DEC2HEX(240,2),DEC2HEX(I283,1),DEC2HEX(H283,5)))</f>
        <v>0119</v>
      </c>
      <c r="K283" s="99">
        <v>0</v>
      </c>
      <c r="L283" s="99">
        <f>IF(I283=6,(LEN(K283)+1)*8,IF(I283=7,(1 + HEX2DEC(MID(K283,3,FIND(",",K283)-3)))*8,IF(I283=14,(LEN(K283)+1)*16,IF(I283=15,(1 + HEX2DEC(MID(K283,3,FIND(",",K283)-3)))*16,VLOOKUP(G283,m2mFormatLUT!$B$2:$D$17,3,FALSE)))))</f>
        <v>1</v>
      </c>
    </row>
    <row r="284" spans="1:14" x14ac:dyDescent="0.55000000000000004">
      <c r="A284" s="104" t="s">
        <v>895</v>
      </c>
      <c r="B284" s="105" t="s">
        <v>896</v>
      </c>
      <c r="C284" s="100" t="s">
        <v>265</v>
      </c>
      <c r="D284" s="106" t="s">
        <v>806</v>
      </c>
      <c r="E284" s="101" t="s">
        <v>1152</v>
      </c>
      <c r="F284" s="102">
        <v>0</v>
      </c>
      <c r="G284" s="100" t="s">
        <v>1153</v>
      </c>
      <c r="H284" s="99">
        <v>282</v>
      </c>
      <c r="I284" s="99">
        <f>VLOOKUP(G284,m2mFormatLUT!$B$2:$D$17,2,FALSE)</f>
        <v>0</v>
      </c>
      <c r="J284" s="99" t="str">
        <f>IF(E284=m2mFormatLUT!$A$2,CONCATENATE(DEC2HEX(I284,1),DEC2HEX(H284,3)),CONCATENATE(DEC2HEX(240,2),DEC2HEX(I284,1),DEC2HEX(H284,5)))</f>
        <v>011A</v>
      </c>
      <c r="K284" s="99">
        <v>0</v>
      </c>
      <c r="L284" s="99">
        <f>IF(I284=6,(LEN(K284)+1)*8,IF(I284=7,(1 + HEX2DEC(MID(K284,3,FIND(",",K284)-3)))*8,IF(I284=14,(LEN(K284)+1)*16,IF(I284=15,(1 + HEX2DEC(MID(K284,3,FIND(",",K284)-3)))*16,VLOOKUP(G284,m2mFormatLUT!$B$2:$D$17,3,FALSE)))))</f>
        <v>1</v>
      </c>
      <c r="N284" s="99" t="s">
        <v>1155</v>
      </c>
    </row>
    <row r="285" spans="1:14" x14ac:dyDescent="0.55000000000000004">
      <c r="A285" s="104" t="s">
        <v>897</v>
      </c>
      <c r="B285" s="105" t="s">
        <v>898</v>
      </c>
      <c r="C285" s="100" t="s">
        <v>265</v>
      </c>
      <c r="D285" s="106" t="s">
        <v>806</v>
      </c>
      <c r="E285" s="101" t="s">
        <v>1152</v>
      </c>
      <c r="F285" s="102">
        <v>0</v>
      </c>
      <c r="G285" s="100" t="s">
        <v>1153</v>
      </c>
      <c r="H285" s="99">
        <v>283</v>
      </c>
      <c r="I285" s="99">
        <f>VLOOKUP(G285,m2mFormatLUT!$B$2:$D$17,2,FALSE)</f>
        <v>0</v>
      </c>
      <c r="J285" s="99" t="str">
        <f>IF(E285=m2mFormatLUT!$A$2,CONCATENATE(DEC2HEX(I285,1),DEC2HEX(H285,3)),CONCATENATE(DEC2HEX(240,2),DEC2HEX(I285,1),DEC2HEX(H285,5)))</f>
        <v>011B</v>
      </c>
      <c r="K285" s="99">
        <v>0</v>
      </c>
      <c r="L285" s="99">
        <f>IF(I285=6,(LEN(K285)+1)*8,IF(I285=7,(1 + HEX2DEC(MID(K285,3,FIND(",",K285)-3)))*8,IF(I285=14,(LEN(K285)+1)*16,IF(I285=15,(1 + HEX2DEC(MID(K285,3,FIND(",",K285)-3)))*16,VLOOKUP(G285,m2mFormatLUT!$B$2:$D$17,3,FALSE)))))</f>
        <v>1</v>
      </c>
    </row>
    <row r="286" spans="1:14" x14ac:dyDescent="0.55000000000000004">
      <c r="A286" s="104" t="s">
        <v>899</v>
      </c>
      <c r="B286" s="105" t="s">
        <v>900</v>
      </c>
      <c r="C286" s="100" t="s">
        <v>265</v>
      </c>
      <c r="D286" s="106" t="s">
        <v>806</v>
      </c>
      <c r="E286" s="101" t="s">
        <v>1152</v>
      </c>
      <c r="F286" s="102">
        <v>0</v>
      </c>
      <c r="G286" s="100" t="s">
        <v>1153</v>
      </c>
      <c r="H286" s="99">
        <v>284</v>
      </c>
      <c r="I286" s="99">
        <f>VLOOKUP(G286,m2mFormatLUT!$B$2:$D$17,2,FALSE)</f>
        <v>0</v>
      </c>
      <c r="J286" s="99" t="str">
        <f>IF(E286=m2mFormatLUT!$A$2,CONCATENATE(DEC2HEX(I286,1),DEC2HEX(H286,3)),CONCATENATE(DEC2HEX(240,2),DEC2HEX(I286,1),DEC2HEX(H286,5)))</f>
        <v>011C</v>
      </c>
      <c r="K286" s="99">
        <v>0</v>
      </c>
      <c r="L286" s="99">
        <f>IF(I286=6,(LEN(K286)+1)*8,IF(I286=7,(1 + HEX2DEC(MID(K286,3,FIND(",",K286)-3)))*8,IF(I286=14,(LEN(K286)+1)*16,IF(I286=15,(1 + HEX2DEC(MID(K286,3,FIND(",",K286)-3)))*16,VLOOKUP(G286,m2mFormatLUT!$B$2:$D$17,3,FALSE)))))</f>
        <v>1</v>
      </c>
    </row>
    <row r="287" spans="1:14" x14ac:dyDescent="0.55000000000000004">
      <c r="A287" s="104" t="s">
        <v>901</v>
      </c>
      <c r="B287" s="105" t="s">
        <v>902</v>
      </c>
      <c r="C287" s="100" t="s">
        <v>265</v>
      </c>
      <c r="D287" s="106" t="s">
        <v>806</v>
      </c>
      <c r="E287" s="101" t="s">
        <v>1152</v>
      </c>
      <c r="F287" s="102">
        <v>0</v>
      </c>
      <c r="G287" s="100" t="s">
        <v>1153</v>
      </c>
      <c r="H287" s="99">
        <v>285</v>
      </c>
      <c r="I287" s="99">
        <f>VLOOKUP(G287,m2mFormatLUT!$B$2:$D$17,2,FALSE)</f>
        <v>0</v>
      </c>
      <c r="J287" s="99" t="str">
        <f>IF(E287=m2mFormatLUT!$A$2,CONCATENATE(DEC2HEX(I287,1),DEC2HEX(H287,3)),CONCATENATE(DEC2HEX(240,2),DEC2HEX(I287,1),DEC2HEX(H287,5)))</f>
        <v>011D</v>
      </c>
      <c r="K287" s="99">
        <v>0</v>
      </c>
      <c r="L287" s="99">
        <f>IF(I287=6,(LEN(K287)+1)*8,IF(I287=7,(1 + HEX2DEC(MID(K287,3,FIND(",",K287)-3)))*8,IF(I287=14,(LEN(K287)+1)*16,IF(I287=15,(1 + HEX2DEC(MID(K287,3,FIND(",",K287)-3)))*16,VLOOKUP(G287,m2mFormatLUT!$B$2:$D$17,3,FALSE)))))</f>
        <v>1</v>
      </c>
    </row>
    <row r="288" spans="1:14" x14ac:dyDescent="0.55000000000000004">
      <c r="A288" s="107" t="s">
        <v>903</v>
      </c>
      <c r="B288" s="105" t="s">
        <v>904</v>
      </c>
      <c r="C288" s="100" t="s">
        <v>265</v>
      </c>
      <c r="D288" s="106" t="s">
        <v>806</v>
      </c>
      <c r="E288" s="101" t="s">
        <v>1152</v>
      </c>
      <c r="F288" s="102">
        <v>0</v>
      </c>
      <c r="G288" s="100" t="s">
        <v>1153</v>
      </c>
      <c r="H288" s="99">
        <v>286</v>
      </c>
      <c r="I288" s="99">
        <f>VLOOKUP(G288,m2mFormatLUT!$B$2:$D$17,2,FALSE)</f>
        <v>0</v>
      </c>
      <c r="J288" s="99" t="str">
        <f>IF(E288=m2mFormatLUT!$A$2,CONCATENATE(DEC2HEX(I288,1),DEC2HEX(H288,3)),CONCATENATE(DEC2HEX(240,2),DEC2HEX(I288,1),DEC2HEX(H288,5)))</f>
        <v>011E</v>
      </c>
      <c r="K288" s="99">
        <v>0</v>
      </c>
      <c r="L288" s="99">
        <f>IF(I288=6,(LEN(K288)+1)*8,IF(I288=7,(1 + HEX2DEC(MID(K288,3,FIND(",",K288)-3)))*8,IF(I288=14,(LEN(K288)+1)*16,IF(I288=15,(1 + HEX2DEC(MID(K288,3,FIND(",",K288)-3)))*16,VLOOKUP(G288,m2mFormatLUT!$B$2:$D$17,3,FALSE)))))</f>
        <v>1</v>
      </c>
      <c r="N288" s="99" t="s">
        <v>1155</v>
      </c>
    </row>
    <row r="289" spans="1:14" x14ac:dyDescent="0.55000000000000004">
      <c r="A289" s="107" t="s">
        <v>905</v>
      </c>
      <c r="B289" s="105" t="s">
        <v>906</v>
      </c>
      <c r="C289" s="100" t="s">
        <v>265</v>
      </c>
      <c r="D289" s="106" t="s">
        <v>806</v>
      </c>
      <c r="E289" s="101" t="s">
        <v>1152</v>
      </c>
      <c r="F289" s="102">
        <v>0</v>
      </c>
      <c r="G289" s="100" t="s">
        <v>1153</v>
      </c>
      <c r="H289" s="99">
        <v>287</v>
      </c>
      <c r="I289" s="99">
        <f>VLOOKUP(G289,m2mFormatLUT!$B$2:$D$17,2,FALSE)</f>
        <v>0</v>
      </c>
      <c r="J289" s="99" t="str">
        <f>IF(E289=m2mFormatLUT!$A$2,CONCATENATE(DEC2HEX(I289,1),DEC2HEX(H289,3)),CONCATENATE(DEC2HEX(240,2),DEC2HEX(I289,1),DEC2HEX(H289,5)))</f>
        <v>011F</v>
      </c>
      <c r="K289" s="99">
        <v>0</v>
      </c>
      <c r="L289" s="99">
        <f>IF(I289=6,(LEN(K289)+1)*8,IF(I289=7,(1 + HEX2DEC(MID(K289,3,FIND(",",K289)-3)))*8,IF(I289=14,(LEN(K289)+1)*16,IF(I289=15,(1 + HEX2DEC(MID(K289,3,FIND(",",K289)-3)))*16,VLOOKUP(G289,m2mFormatLUT!$B$2:$D$17,3,FALSE)))))</f>
        <v>1</v>
      </c>
    </row>
    <row r="290" spans="1:14" x14ac:dyDescent="0.55000000000000004">
      <c r="A290" s="107" t="s">
        <v>907</v>
      </c>
      <c r="B290" s="105" t="s">
        <v>908</v>
      </c>
      <c r="C290" s="100" t="s">
        <v>265</v>
      </c>
      <c r="D290" s="106" t="s">
        <v>806</v>
      </c>
      <c r="E290" s="101" t="s">
        <v>1152</v>
      </c>
      <c r="F290" s="102">
        <v>0</v>
      </c>
      <c r="G290" s="100" t="s">
        <v>1153</v>
      </c>
      <c r="H290" s="99">
        <v>288</v>
      </c>
      <c r="I290" s="99">
        <f>VLOOKUP(G290,m2mFormatLUT!$B$2:$D$17,2,FALSE)</f>
        <v>0</v>
      </c>
      <c r="J290" s="99" t="str">
        <f>IF(E290=m2mFormatLUT!$A$2,CONCATENATE(DEC2HEX(I290,1),DEC2HEX(H290,3)),CONCATENATE(DEC2HEX(240,2),DEC2HEX(I290,1),DEC2HEX(H290,5)))</f>
        <v>0120</v>
      </c>
      <c r="K290" s="99">
        <v>0</v>
      </c>
      <c r="L290" s="99">
        <f>IF(I290=6,(LEN(K290)+1)*8,IF(I290=7,(1 + HEX2DEC(MID(K290,3,FIND(",",K290)-3)))*8,IF(I290=14,(LEN(K290)+1)*16,IF(I290=15,(1 + HEX2DEC(MID(K290,3,FIND(",",K290)-3)))*16,VLOOKUP(G290,m2mFormatLUT!$B$2:$D$17,3,FALSE)))))</f>
        <v>1</v>
      </c>
    </row>
    <row r="291" spans="1:14" x14ac:dyDescent="0.55000000000000004">
      <c r="A291" s="107" t="s">
        <v>909</v>
      </c>
      <c r="B291" s="105" t="s">
        <v>910</v>
      </c>
      <c r="C291" s="100" t="s">
        <v>265</v>
      </c>
      <c r="D291" s="106" t="s">
        <v>806</v>
      </c>
      <c r="E291" s="101" t="s">
        <v>1152</v>
      </c>
      <c r="F291" s="102">
        <v>0</v>
      </c>
      <c r="G291" s="100" t="s">
        <v>1153</v>
      </c>
      <c r="H291" s="99">
        <v>289</v>
      </c>
      <c r="I291" s="99">
        <f>VLOOKUP(G291,m2mFormatLUT!$B$2:$D$17,2,FALSE)</f>
        <v>0</v>
      </c>
      <c r="J291" s="99" t="str">
        <f>IF(E291=m2mFormatLUT!$A$2,CONCATENATE(DEC2HEX(I291,1),DEC2HEX(H291,3)),CONCATENATE(DEC2HEX(240,2),DEC2HEX(I291,1),DEC2HEX(H291,5)))</f>
        <v>0121</v>
      </c>
      <c r="K291" s="99">
        <v>0</v>
      </c>
      <c r="L291" s="99">
        <f>IF(I291=6,(LEN(K291)+1)*8,IF(I291=7,(1 + HEX2DEC(MID(K291,3,FIND(",",K291)-3)))*8,IF(I291=14,(LEN(K291)+1)*16,IF(I291=15,(1 + HEX2DEC(MID(K291,3,FIND(",",K291)-3)))*16,VLOOKUP(G291,m2mFormatLUT!$B$2:$D$17,3,FALSE)))))</f>
        <v>1</v>
      </c>
    </row>
    <row r="292" spans="1:14" x14ac:dyDescent="0.55000000000000004">
      <c r="A292" s="104" t="s">
        <v>911</v>
      </c>
      <c r="B292" s="105" t="s">
        <v>912</v>
      </c>
      <c r="C292" s="100" t="s">
        <v>265</v>
      </c>
      <c r="D292" s="106" t="s">
        <v>806</v>
      </c>
      <c r="E292" s="101" t="s">
        <v>1152</v>
      </c>
      <c r="F292" s="102">
        <v>0</v>
      </c>
      <c r="G292" s="100" t="s">
        <v>1153</v>
      </c>
      <c r="H292" s="99">
        <v>290</v>
      </c>
      <c r="I292" s="99">
        <f>VLOOKUP(G292,m2mFormatLUT!$B$2:$D$17,2,FALSE)</f>
        <v>0</v>
      </c>
      <c r="J292" s="99" t="str">
        <f>IF(E292=m2mFormatLUT!$A$2,CONCATENATE(DEC2HEX(I292,1),DEC2HEX(H292,3)),CONCATENATE(DEC2HEX(240,2),DEC2HEX(I292,1),DEC2HEX(H292,5)))</f>
        <v>0122</v>
      </c>
      <c r="K292" s="99">
        <v>0</v>
      </c>
      <c r="L292" s="99">
        <f>IF(I292=6,(LEN(K292)+1)*8,IF(I292=7,(1 + HEX2DEC(MID(K292,3,FIND(",",K292)-3)))*8,IF(I292=14,(LEN(K292)+1)*16,IF(I292=15,(1 + HEX2DEC(MID(K292,3,FIND(",",K292)-3)))*16,VLOOKUP(G292,m2mFormatLUT!$B$2:$D$17,3,FALSE)))))</f>
        <v>1</v>
      </c>
      <c r="N292" s="99" t="s">
        <v>1155</v>
      </c>
    </row>
    <row r="293" spans="1:14" x14ac:dyDescent="0.55000000000000004">
      <c r="A293" s="104" t="s">
        <v>913</v>
      </c>
      <c r="B293" s="105" t="s">
        <v>914</v>
      </c>
      <c r="C293" s="100" t="s">
        <v>265</v>
      </c>
      <c r="D293" s="106" t="s">
        <v>806</v>
      </c>
      <c r="E293" s="101" t="s">
        <v>1152</v>
      </c>
      <c r="F293" s="102">
        <v>0</v>
      </c>
      <c r="G293" s="100" t="s">
        <v>1153</v>
      </c>
      <c r="H293" s="99">
        <v>291</v>
      </c>
      <c r="I293" s="99">
        <f>VLOOKUP(G293,m2mFormatLUT!$B$2:$D$17,2,FALSE)</f>
        <v>0</v>
      </c>
      <c r="J293" s="99" t="str">
        <f>IF(E293=m2mFormatLUT!$A$2,CONCATENATE(DEC2HEX(I293,1),DEC2HEX(H293,3)),CONCATENATE(DEC2HEX(240,2),DEC2HEX(I293,1),DEC2HEX(H293,5)))</f>
        <v>0123</v>
      </c>
      <c r="K293" s="99">
        <v>0</v>
      </c>
      <c r="L293" s="99">
        <f>IF(I293=6,(LEN(K293)+1)*8,IF(I293=7,(1 + HEX2DEC(MID(K293,3,FIND(",",K293)-3)))*8,IF(I293=14,(LEN(K293)+1)*16,IF(I293=15,(1 + HEX2DEC(MID(K293,3,FIND(",",K293)-3)))*16,VLOOKUP(G293,m2mFormatLUT!$B$2:$D$17,3,FALSE)))))</f>
        <v>1</v>
      </c>
    </row>
    <row r="294" spans="1:14" x14ac:dyDescent="0.55000000000000004">
      <c r="A294" s="104" t="s">
        <v>915</v>
      </c>
      <c r="B294" s="105" t="s">
        <v>916</v>
      </c>
      <c r="C294" s="100" t="s">
        <v>265</v>
      </c>
      <c r="D294" s="106" t="s">
        <v>806</v>
      </c>
      <c r="E294" s="101" t="s">
        <v>1152</v>
      </c>
      <c r="F294" s="102">
        <v>0</v>
      </c>
      <c r="G294" s="100" t="s">
        <v>1153</v>
      </c>
      <c r="H294" s="99">
        <v>292</v>
      </c>
      <c r="I294" s="99">
        <f>VLOOKUP(G294,m2mFormatLUT!$B$2:$D$17,2,FALSE)</f>
        <v>0</v>
      </c>
      <c r="J294" s="99" t="str">
        <f>IF(E294=m2mFormatLUT!$A$2,CONCATENATE(DEC2HEX(I294,1),DEC2HEX(H294,3)),CONCATENATE(DEC2HEX(240,2),DEC2HEX(I294,1),DEC2HEX(H294,5)))</f>
        <v>0124</v>
      </c>
      <c r="K294" s="99">
        <v>0</v>
      </c>
      <c r="L294" s="99">
        <f>IF(I294=6,(LEN(K294)+1)*8,IF(I294=7,(1 + HEX2DEC(MID(K294,3,FIND(",",K294)-3)))*8,IF(I294=14,(LEN(K294)+1)*16,IF(I294=15,(1 + HEX2DEC(MID(K294,3,FIND(",",K294)-3)))*16,VLOOKUP(G294,m2mFormatLUT!$B$2:$D$17,3,FALSE)))))</f>
        <v>1</v>
      </c>
    </row>
    <row r="295" spans="1:14" x14ac:dyDescent="0.55000000000000004">
      <c r="A295" s="104" t="s">
        <v>917</v>
      </c>
      <c r="B295" s="105" t="s">
        <v>918</v>
      </c>
      <c r="C295" s="100" t="s">
        <v>265</v>
      </c>
      <c r="D295" s="106" t="s">
        <v>806</v>
      </c>
      <c r="E295" s="101" t="s">
        <v>1152</v>
      </c>
      <c r="F295" s="102">
        <v>0</v>
      </c>
      <c r="G295" s="100" t="s">
        <v>1153</v>
      </c>
      <c r="H295" s="99">
        <v>293</v>
      </c>
      <c r="I295" s="99">
        <f>VLOOKUP(G295,m2mFormatLUT!$B$2:$D$17,2,FALSE)</f>
        <v>0</v>
      </c>
      <c r="J295" s="99" t="str">
        <f>IF(E295=m2mFormatLUT!$A$2,CONCATENATE(DEC2HEX(I295,1),DEC2HEX(H295,3)),CONCATENATE(DEC2HEX(240,2),DEC2HEX(I295,1),DEC2HEX(H295,5)))</f>
        <v>0125</v>
      </c>
      <c r="K295" s="99">
        <v>0</v>
      </c>
      <c r="L295" s="99">
        <f>IF(I295=6,(LEN(K295)+1)*8,IF(I295=7,(1 + HEX2DEC(MID(K295,3,FIND(",",K295)-3)))*8,IF(I295=14,(LEN(K295)+1)*16,IF(I295=15,(1 + HEX2DEC(MID(K295,3,FIND(",",K295)-3)))*16,VLOOKUP(G295,m2mFormatLUT!$B$2:$D$17,3,FALSE)))))</f>
        <v>1</v>
      </c>
    </row>
    <row r="296" spans="1:14" x14ac:dyDescent="0.55000000000000004">
      <c r="A296" s="107" t="s">
        <v>919</v>
      </c>
      <c r="B296" s="105" t="s">
        <v>920</v>
      </c>
      <c r="C296" s="100" t="s">
        <v>265</v>
      </c>
      <c r="D296" s="106" t="s">
        <v>806</v>
      </c>
      <c r="E296" s="101" t="s">
        <v>1152</v>
      </c>
      <c r="F296" s="102">
        <v>0</v>
      </c>
      <c r="G296" s="100" t="s">
        <v>1153</v>
      </c>
      <c r="H296" s="99">
        <v>294</v>
      </c>
      <c r="I296" s="99">
        <f>VLOOKUP(G296,m2mFormatLUT!$B$2:$D$17,2,FALSE)</f>
        <v>0</v>
      </c>
      <c r="J296" s="99" t="str">
        <f>IF(E296=m2mFormatLUT!$A$2,CONCATENATE(DEC2HEX(I296,1),DEC2HEX(H296,3)),CONCATENATE(DEC2HEX(240,2),DEC2HEX(I296,1),DEC2HEX(H296,5)))</f>
        <v>0126</v>
      </c>
      <c r="K296" s="99">
        <v>0</v>
      </c>
      <c r="L296" s="99">
        <f>IF(I296=6,(LEN(K296)+1)*8,IF(I296=7,(1 + HEX2DEC(MID(K296,3,FIND(",",K296)-3)))*8,IF(I296=14,(LEN(K296)+1)*16,IF(I296=15,(1 + HEX2DEC(MID(K296,3,FIND(",",K296)-3)))*16,VLOOKUP(G296,m2mFormatLUT!$B$2:$D$17,3,FALSE)))))</f>
        <v>1</v>
      </c>
      <c r="N296" s="99" t="s">
        <v>1155</v>
      </c>
    </row>
    <row r="297" spans="1:14" x14ac:dyDescent="0.55000000000000004">
      <c r="A297" s="107" t="s">
        <v>921</v>
      </c>
      <c r="B297" s="105" t="s">
        <v>922</v>
      </c>
      <c r="C297" s="100" t="s">
        <v>265</v>
      </c>
      <c r="D297" s="106" t="s">
        <v>806</v>
      </c>
      <c r="E297" s="101" t="s">
        <v>1152</v>
      </c>
      <c r="F297" s="102">
        <v>0</v>
      </c>
      <c r="G297" s="100" t="s">
        <v>1153</v>
      </c>
      <c r="H297" s="99">
        <v>295</v>
      </c>
      <c r="I297" s="99">
        <f>VLOOKUP(G297,m2mFormatLUT!$B$2:$D$17,2,FALSE)</f>
        <v>0</v>
      </c>
      <c r="J297" s="99" t="str">
        <f>IF(E297=m2mFormatLUT!$A$2,CONCATENATE(DEC2HEX(I297,1),DEC2HEX(H297,3)),CONCATENATE(DEC2HEX(240,2),DEC2HEX(I297,1),DEC2HEX(H297,5)))</f>
        <v>0127</v>
      </c>
      <c r="K297" s="99">
        <v>0</v>
      </c>
      <c r="L297" s="99">
        <f>IF(I297=6,(LEN(K297)+1)*8,IF(I297=7,(1 + HEX2DEC(MID(K297,3,FIND(",",K297)-3)))*8,IF(I297=14,(LEN(K297)+1)*16,IF(I297=15,(1 + HEX2DEC(MID(K297,3,FIND(",",K297)-3)))*16,VLOOKUP(G297,m2mFormatLUT!$B$2:$D$17,3,FALSE)))))</f>
        <v>1</v>
      </c>
    </row>
    <row r="298" spans="1:14" x14ac:dyDescent="0.55000000000000004">
      <c r="A298" s="104" t="s">
        <v>923</v>
      </c>
      <c r="B298" s="105" t="s">
        <v>924</v>
      </c>
      <c r="C298" s="100" t="s">
        <v>265</v>
      </c>
      <c r="D298" s="106" t="s">
        <v>806</v>
      </c>
      <c r="E298" s="101" t="s">
        <v>1152</v>
      </c>
      <c r="F298" s="102">
        <v>0</v>
      </c>
      <c r="G298" s="100" t="s">
        <v>1153</v>
      </c>
      <c r="H298" s="99">
        <v>296</v>
      </c>
      <c r="I298" s="99">
        <f>VLOOKUP(G298,m2mFormatLUT!$B$2:$D$17,2,FALSE)</f>
        <v>0</v>
      </c>
      <c r="J298" s="99" t="str">
        <f>IF(E298=m2mFormatLUT!$A$2,CONCATENATE(DEC2HEX(I298,1),DEC2HEX(H298,3)),CONCATENATE(DEC2HEX(240,2),DEC2HEX(I298,1),DEC2HEX(H298,5)))</f>
        <v>0128</v>
      </c>
      <c r="K298" s="99">
        <v>0</v>
      </c>
      <c r="L298" s="99">
        <f>IF(I298=6,(LEN(K298)+1)*8,IF(I298=7,(1 + HEX2DEC(MID(K298,3,FIND(",",K298)-3)))*8,IF(I298=14,(LEN(K298)+1)*16,IF(I298=15,(1 + HEX2DEC(MID(K298,3,FIND(",",K298)-3)))*16,VLOOKUP(G298,m2mFormatLUT!$B$2:$D$17,3,FALSE)))))</f>
        <v>1</v>
      </c>
      <c r="N298" s="99" t="s">
        <v>1159</v>
      </c>
    </row>
    <row r="299" spans="1:14" x14ac:dyDescent="0.55000000000000004">
      <c r="A299" s="104" t="s">
        <v>925</v>
      </c>
      <c r="B299" s="105" t="s">
        <v>926</v>
      </c>
      <c r="C299" s="100" t="s">
        <v>265</v>
      </c>
      <c r="D299" s="106" t="s">
        <v>806</v>
      </c>
      <c r="E299" s="101" t="s">
        <v>1152</v>
      </c>
      <c r="F299" s="102">
        <v>0</v>
      </c>
      <c r="G299" s="100" t="s">
        <v>1153</v>
      </c>
      <c r="H299" s="99">
        <v>297</v>
      </c>
      <c r="I299" s="99">
        <f>VLOOKUP(G299,m2mFormatLUT!$B$2:$D$17,2,FALSE)</f>
        <v>0</v>
      </c>
      <c r="J299" s="99" t="str">
        <f>IF(E299=m2mFormatLUT!$A$2,CONCATENATE(DEC2HEX(I299,1),DEC2HEX(H299,3)),CONCATENATE(DEC2HEX(240,2),DEC2HEX(I299,1),DEC2HEX(H299,5)))</f>
        <v>0129</v>
      </c>
      <c r="K299" s="99">
        <v>0</v>
      </c>
      <c r="L299" s="99">
        <f>IF(I299=6,(LEN(K299)+1)*8,IF(I299=7,(1 + HEX2DEC(MID(K299,3,FIND(",",K299)-3)))*8,IF(I299=14,(LEN(K299)+1)*16,IF(I299=15,(1 + HEX2DEC(MID(K299,3,FIND(",",K299)-3)))*16,VLOOKUP(G299,m2mFormatLUT!$B$2:$D$17,3,FALSE)))))</f>
        <v>1</v>
      </c>
    </row>
    <row r="300" spans="1:14" x14ac:dyDescent="0.55000000000000004">
      <c r="A300" s="104" t="s">
        <v>927</v>
      </c>
      <c r="B300" s="105" t="s">
        <v>928</v>
      </c>
      <c r="C300" s="100" t="s">
        <v>265</v>
      </c>
      <c r="D300" s="106" t="s">
        <v>806</v>
      </c>
      <c r="E300" s="101" t="s">
        <v>1152</v>
      </c>
      <c r="F300" s="102">
        <v>0</v>
      </c>
      <c r="G300" s="100" t="s">
        <v>1153</v>
      </c>
      <c r="H300" s="99">
        <v>298</v>
      </c>
      <c r="I300" s="99">
        <f>VLOOKUP(G300,m2mFormatLUT!$B$2:$D$17,2,FALSE)</f>
        <v>0</v>
      </c>
      <c r="J300" s="99" t="str">
        <f>IF(E300=m2mFormatLUT!$A$2,CONCATENATE(DEC2HEX(I300,1),DEC2HEX(H300,3)),CONCATENATE(DEC2HEX(240,2),DEC2HEX(I300,1),DEC2HEX(H300,5)))</f>
        <v>012A</v>
      </c>
      <c r="K300" s="99">
        <v>0</v>
      </c>
      <c r="L300" s="99">
        <f>IF(I300=6,(LEN(K300)+1)*8,IF(I300=7,(1 + HEX2DEC(MID(K300,3,FIND(",",K300)-3)))*8,IF(I300=14,(LEN(K300)+1)*16,IF(I300=15,(1 + HEX2DEC(MID(K300,3,FIND(",",K300)-3)))*16,VLOOKUP(G300,m2mFormatLUT!$B$2:$D$17,3,FALSE)))))</f>
        <v>1</v>
      </c>
    </row>
    <row r="301" spans="1:14" x14ac:dyDescent="0.55000000000000004">
      <c r="A301" s="104" t="s">
        <v>929</v>
      </c>
      <c r="B301" s="105" t="s">
        <v>930</v>
      </c>
      <c r="C301" s="100" t="s">
        <v>265</v>
      </c>
      <c r="D301" s="106" t="s">
        <v>806</v>
      </c>
      <c r="E301" s="101" t="s">
        <v>1152</v>
      </c>
      <c r="F301" s="102">
        <v>0</v>
      </c>
      <c r="G301" s="100" t="s">
        <v>1153</v>
      </c>
      <c r="H301" s="99">
        <v>299</v>
      </c>
      <c r="I301" s="99">
        <f>VLOOKUP(G301,m2mFormatLUT!$B$2:$D$17,2,FALSE)</f>
        <v>0</v>
      </c>
      <c r="J301" s="99" t="str">
        <f>IF(E301=m2mFormatLUT!$A$2,CONCATENATE(DEC2HEX(I301,1),DEC2HEX(H301,3)),CONCATENATE(DEC2HEX(240,2),DEC2HEX(I301,1),DEC2HEX(H301,5)))</f>
        <v>012B</v>
      </c>
      <c r="K301" s="99">
        <v>0</v>
      </c>
      <c r="L301" s="99">
        <f>IF(I301=6,(LEN(K301)+1)*8,IF(I301=7,(1 + HEX2DEC(MID(K301,3,FIND(",",K301)-3)))*8,IF(I301=14,(LEN(K301)+1)*16,IF(I301=15,(1 + HEX2DEC(MID(K301,3,FIND(",",K301)-3)))*16,VLOOKUP(G301,m2mFormatLUT!$B$2:$D$17,3,FALSE)))))</f>
        <v>1</v>
      </c>
    </row>
    <row r="302" spans="1:14" x14ac:dyDescent="0.55000000000000004">
      <c r="A302" s="107" t="s">
        <v>931</v>
      </c>
      <c r="B302" s="105" t="s">
        <v>932</v>
      </c>
      <c r="C302" s="100" t="s">
        <v>265</v>
      </c>
      <c r="D302" s="106" t="s">
        <v>806</v>
      </c>
      <c r="E302" s="101" t="s">
        <v>1152</v>
      </c>
      <c r="F302" s="102">
        <v>0</v>
      </c>
      <c r="G302" s="100" t="s">
        <v>1153</v>
      </c>
      <c r="H302" s="99">
        <v>300</v>
      </c>
      <c r="I302" s="99">
        <f>VLOOKUP(G302,m2mFormatLUT!$B$2:$D$17,2,FALSE)</f>
        <v>0</v>
      </c>
      <c r="J302" s="99" t="str">
        <f>IF(E302=m2mFormatLUT!$A$2,CONCATENATE(DEC2HEX(I302,1),DEC2HEX(H302,3)),CONCATENATE(DEC2HEX(240,2),DEC2HEX(I302,1),DEC2HEX(H302,5)))</f>
        <v>012C</v>
      </c>
      <c r="K302" s="99">
        <v>0</v>
      </c>
      <c r="L302" s="99">
        <f>IF(I302=6,(LEN(K302)+1)*8,IF(I302=7,(1 + HEX2DEC(MID(K302,3,FIND(",",K302)-3)))*8,IF(I302=14,(LEN(K302)+1)*16,IF(I302=15,(1 + HEX2DEC(MID(K302,3,FIND(",",K302)-3)))*16,VLOOKUP(G302,m2mFormatLUT!$B$2:$D$17,3,FALSE)))))</f>
        <v>1</v>
      </c>
      <c r="N302" s="99" t="s">
        <v>1155</v>
      </c>
    </row>
    <row r="303" spans="1:14" x14ac:dyDescent="0.55000000000000004">
      <c r="A303" s="107" t="s">
        <v>933</v>
      </c>
      <c r="B303" s="105" t="s">
        <v>934</v>
      </c>
      <c r="C303" s="100" t="s">
        <v>265</v>
      </c>
      <c r="D303" s="106" t="s">
        <v>806</v>
      </c>
      <c r="E303" s="101" t="s">
        <v>1152</v>
      </c>
      <c r="F303" s="102">
        <v>0</v>
      </c>
      <c r="G303" s="100" t="s">
        <v>1153</v>
      </c>
      <c r="H303" s="99">
        <v>301</v>
      </c>
      <c r="I303" s="99">
        <f>VLOOKUP(G303,m2mFormatLUT!$B$2:$D$17,2,FALSE)</f>
        <v>0</v>
      </c>
      <c r="J303" s="99" t="str">
        <f>IF(E303=m2mFormatLUT!$A$2,CONCATENATE(DEC2HEX(I303,1),DEC2HEX(H303,3)),CONCATENATE(DEC2HEX(240,2),DEC2HEX(I303,1),DEC2HEX(H303,5)))</f>
        <v>012D</v>
      </c>
      <c r="K303" s="99">
        <v>0</v>
      </c>
      <c r="L303" s="99">
        <f>IF(I303=6,(LEN(K303)+1)*8,IF(I303=7,(1 + HEX2DEC(MID(K303,3,FIND(",",K303)-3)))*8,IF(I303=14,(LEN(K303)+1)*16,IF(I303=15,(1 + HEX2DEC(MID(K303,3,FIND(",",K303)-3)))*16,VLOOKUP(G303,m2mFormatLUT!$B$2:$D$17,3,FALSE)))))</f>
        <v>1</v>
      </c>
    </row>
    <row r="304" spans="1:14" x14ac:dyDescent="0.55000000000000004">
      <c r="A304" s="99" t="s">
        <v>935</v>
      </c>
      <c r="B304" s="105" t="s">
        <v>936</v>
      </c>
      <c r="C304" s="100" t="s">
        <v>265</v>
      </c>
      <c r="D304" s="106" t="s">
        <v>806</v>
      </c>
      <c r="E304" s="101" t="s">
        <v>1152</v>
      </c>
      <c r="F304" s="102">
        <v>0</v>
      </c>
      <c r="G304" s="100" t="s">
        <v>1153</v>
      </c>
      <c r="H304" s="99">
        <v>302</v>
      </c>
      <c r="I304" s="99">
        <f>VLOOKUP(G304,m2mFormatLUT!$B$2:$D$17,2,FALSE)</f>
        <v>0</v>
      </c>
      <c r="J304" s="99" t="str">
        <f>IF(E304=m2mFormatLUT!$A$2,CONCATENATE(DEC2HEX(I304,1),DEC2HEX(H304,3)),CONCATENATE(DEC2HEX(240,2),DEC2HEX(I304,1),DEC2HEX(H304,5)))</f>
        <v>012E</v>
      </c>
      <c r="K304" s="99">
        <v>0</v>
      </c>
      <c r="L304" s="99">
        <f>IF(I304=6,(LEN(K304)+1)*8,IF(I304=7,(1 + HEX2DEC(MID(K304,3,FIND(",",K304)-3)))*8,IF(I304=14,(LEN(K304)+1)*16,IF(I304=15,(1 + HEX2DEC(MID(K304,3,FIND(",",K304)-3)))*16,VLOOKUP(G304,m2mFormatLUT!$B$2:$D$17,3,FALSE)))))</f>
        <v>1</v>
      </c>
    </row>
    <row r="305" spans="1:14" x14ac:dyDescent="0.55000000000000004">
      <c r="A305" s="99" t="s">
        <v>937</v>
      </c>
      <c r="B305" s="105" t="s">
        <v>938</v>
      </c>
      <c r="C305" s="100" t="s">
        <v>265</v>
      </c>
      <c r="D305" s="106" t="s">
        <v>806</v>
      </c>
      <c r="E305" s="101" t="s">
        <v>1152</v>
      </c>
      <c r="F305" s="102">
        <v>0</v>
      </c>
      <c r="G305" s="100" t="s">
        <v>1153</v>
      </c>
      <c r="H305" s="99">
        <v>303</v>
      </c>
      <c r="I305" s="99">
        <f>VLOOKUP(G305,m2mFormatLUT!$B$2:$D$17,2,FALSE)</f>
        <v>0</v>
      </c>
      <c r="J305" s="99" t="str">
        <f>IF(E305=m2mFormatLUT!$A$2,CONCATENATE(DEC2HEX(I305,1),DEC2HEX(H305,3)),CONCATENATE(DEC2HEX(240,2),DEC2HEX(I305,1),DEC2HEX(H305,5)))</f>
        <v>012F</v>
      </c>
      <c r="K305" s="99">
        <v>0</v>
      </c>
      <c r="L305" s="99">
        <f>IF(I305=6,(LEN(K305)+1)*8,IF(I305=7,(1 + HEX2DEC(MID(K305,3,FIND(",",K305)-3)))*8,IF(I305=14,(LEN(K305)+1)*16,IF(I305=15,(1 + HEX2DEC(MID(K305,3,FIND(",",K305)-3)))*16,VLOOKUP(G305,m2mFormatLUT!$B$2:$D$17,3,FALSE)))))</f>
        <v>1</v>
      </c>
    </row>
    <row r="306" spans="1:14" x14ac:dyDescent="0.55000000000000004">
      <c r="A306" s="99" t="s">
        <v>939</v>
      </c>
      <c r="B306" s="105" t="s">
        <v>940</v>
      </c>
      <c r="C306" s="100" t="s">
        <v>265</v>
      </c>
      <c r="D306" s="106" t="s">
        <v>806</v>
      </c>
      <c r="E306" s="101" t="s">
        <v>1152</v>
      </c>
      <c r="F306" s="102">
        <v>0</v>
      </c>
      <c r="G306" s="100" t="s">
        <v>1153</v>
      </c>
      <c r="H306" s="99">
        <v>304</v>
      </c>
      <c r="I306" s="99">
        <f>VLOOKUP(G306,m2mFormatLUT!$B$2:$D$17,2,FALSE)</f>
        <v>0</v>
      </c>
      <c r="J306" s="99" t="str">
        <f>IF(E306=m2mFormatLUT!$A$2,CONCATENATE(DEC2HEX(I306,1),DEC2HEX(H306,3)),CONCATENATE(DEC2HEX(240,2),DEC2HEX(I306,1),DEC2HEX(H306,5)))</f>
        <v>0130</v>
      </c>
      <c r="K306" s="99">
        <v>0</v>
      </c>
      <c r="L306" s="99">
        <f>IF(I306=6,(LEN(K306)+1)*8,IF(I306=7,(1 + HEX2DEC(MID(K306,3,FIND(",",K306)-3)))*8,IF(I306=14,(LEN(K306)+1)*16,IF(I306=15,(1 + HEX2DEC(MID(K306,3,FIND(",",K306)-3)))*16,VLOOKUP(G306,m2mFormatLUT!$B$2:$D$17,3,FALSE)))))</f>
        <v>1</v>
      </c>
    </row>
    <row r="307" spans="1:14" x14ac:dyDescent="0.55000000000000004">
      <c r="A307" s="99" t="s">
        <v>941</v>
      </c>
      <c r="B307" s="105" t="s">
        <v>942</v>
      </c>
      <c r="C307" s="100" t="s">
        <v>265</v>
      </c>
      <c r="D307" s="106" t="s">
        <v>806</v>
      </c>
      <c r="E307" s="101" t="s">
        <v>1152</v>
      </c>
      <c r="F307" s="102">
        <v>0</v>
      </c>
      <c r="G307" s="100" t="s">
        <v>1153</v>
      </c>
      <c r="H307" s="99">
        <v>305</v>
      </c>
      <c r="I307" s="99">
        <f>VLOOKUP(G307,m2mFormatLUT!$B$2:$D$17,2,FALSE)</f>
        <v>0</v>
      </c>
      <c r="J307" s="99" t="str">
        <f>IF(E307=m2mFormatLUT!$A$2,CONCATENATE(DEC2HEX(I307,1),DEC2HEX(H307,3)),CONCATENATE(DEC2HEX(240,2),DEC2HEX(I307,1),DEC2HEX(H307,5)))</f>
        <v>0131</v>
      </c>
      <c r="K307" s="99">
        <v>0</v>
      </c>
      <c r="L307" s="99">
        <f>IF(I307=6,(LEN(K307)+1)*8,IF(I307=7,(1 + HEX2DEC(MID(K307,3,FIND(",",K307)-3)))*8,IF(I307=14,(LEN(K307)+1)*16,IF(I307=15,(1 + HEX2DEC(MID(K307,3,FIND(",",K307)-3)))*16,VLOOKUP(G307,m2mFormatLUT!$B$2:$D$17,3,FALSE)))))</f>
        <v>1</v>
      </c>
    </row>
    <row r="308" spans="1:14" x14ac:dyDescent="0.55000000000000004">
      <c r="A308" s="99" t="s">
        <v>943</v>
      </c>
      <c r="B308" s="105" t="s">
        <v>944</v>
      </c>
      <c r="C308" s="100" t="s">
        <v>265</v>
      </c>
      <c r="D308" s="106" t="s">
        <v>806</v>
      </c>
      <c r="E308" s="101" t="s">
        <v>1152</v>
      </c>
      <c r="F308" s="102">
        <v>0</v>
      </c>
      <c r="G308" s="100" t="s">
        <v>1153</v>
      </c>
      <c r="H308" s="99">
        <v>306</v>
      </c>
      <c r="I308" s="99">
        <f>VLOOKUP(G308,m2mFormatLUT!$B$2:$D$17,2,FALSE)</f>
        <v>0</v>
      </c>
      <c r="J308" s="99" t="str">
        <f>IF(E308=m2mFormatLUT!$A$2,CONCATENATE(DEC2HEX(I308,1),DEC2HEX(H308,3)),CONCATENATE(DEC2HEX(240,2),DEC2HEX(I308,1),DEC2HEX(H308,5)))</f>
        <v>0132</v>
      </c>
      <c r="K308" s="99">
        <v>0</v>
      </c>
      <c r="L308" s="99">
        <f>IF(I308=6,(LEN(K308)+1)*8,IF(I308=7,(1 + HEX2DEC(MID(K308,3,FIND(",",K308)-3)))*8,IF(I308=14,(LEN(K308)+1)*16,IF(I308=15,(1 + HEX2DEC(MID(K308,3,FIND(",",K308)-3)))*16,VLOOKUP(G308,m2mFormatLUT!$B$2:$D$17,3,FALSE)))))</f>
        <v>1</v>
      </c>
    </row>
    <row r="309" spans="1:14" x14ac:dyDescent="0.55000000000000004">
      <c r="A309" s="99" t="s">
        <v>945</v>
      </c>
      <c r="B309" s="105" t="s">
        <v>946</v>
      </c>
      <c r="C309" s="100" t="s">
        <v>265</v>
      </c>
      <c r="D309" s="106" t="s">
        <v>806</v>
      </c>
      <c r="E309" s="101" t="s">
        <v>1152</v>
      </c>
      <c r="F309" s="102">
        <v>0</v>
      </c>
      <c r="G309" s="100" t="s">
        <v>1153</v>
      </c>
      <c r="H309" s="99">
        <v>307</v>
      </c>
      <c r="I309" s="99">
        <f>VLOOKUP(G309,m2mFormatLUT!$B$2:$D$17,2,FALSE)</f>
        <v>0</v>
      </c>
      <c r="J309" s="99" t="str">
        <f>IF(E309=m2mFormatLUT!$A$2,CONCATENATE(DEC2HEX(I309,1),DEC2HEX(H309,3)),CONCATENATE(DEC2HEX(240,2),DEC2HEX(I309,1),DEC2HEX(H309,5)))</f>
        <v>0133</v>
      </c>
      <c r="K309" s="99">
        <v>0</v>
      </c>
      <c r="L309" s="99">
        <f>IF(I309=6,(LEN(K309)+1)*8,IF(I309=7,(1 + HEX2DEC(MID(K309,3,FIND(",",K309)-3)))*8,IF(I309=14,(LEN(K309)+1)*16,IF(I309=15,(1 + HEX2DEC(MID(K309,3,FIND(",",K309)-3)))*16,VLOOKUP(G309,m2mFormatLUT!$B$2:$D$17,3,FALSE)))))</f>
        <v>1</v>
      </c>
    </row>
    <row r="310" spans="1:14" x14ac:dyDescent="0.55000000000000004">
      <c r="A310" s="104" t="s">
        <v>947</v>
      </c>
      <c r="B310" s="105" t="s">
        <v>948</v>
      </c>
      <c r="C310" s="100" t="s">
        <v>265</v>
      </c>
      <c r="D310" s="106" t="s">
        <v>806</v>
      </c>
      <c r="E310" s="101" t="s">
        <v>1152</v>
      </c>
      <c r="F310" s="102">
        <v>0</v>
      </c>
      <c r="G310" s="100" t="s">
        <v>1153</v>
      </c>
      <c r="H310" s="99">
        <v>308</v>
      </c>
      <c r="I310" s="99">
        <f>VLOOKUP(G310,m2mFormatLUT!$B$2:$D$17,2,FALSE)</f>
        <v>0</v>
      </c>
      <c r="J310" s="99" t="str">
        <f>IF(E310=m2mFormatLUT!$A$2,CONCATENATE(DEC2HEX(I310,1),DEC2HEX(H310,3)),CONCATENATE(DEC2HEX(240,2),DEC2HEX(I310,1),DEC2HEX(H310,5)))</f>
        <v>0134</v>
      </c>
      <c r="K310" s="99">
        <v>0</v>
      </c>
      <c r="L310" s="99">
        <f>IF(I310=6,(LEN(K310)+1)*8,IF(I310=7,(1 + HEX2DEC(MID(K310,3,FIND(",",K310)-3)))*8,IF(I310=14,(LEN(K310)+1)*16,IF(I310=15,(1 + HEX2DEC(MID(K310,3,FIND(",",K310)-3)))*16,VLOOKUP(G310,m2mFormatLUT!$B$2:$D$17,3,FALSE)))))</f>
        <v>1</v>
      </c>
      <c r="N310" s="99" t="s">
        <v>1155</v>
      </c>
    </row>
    <row r="311" spans="1:14" x14ac:dyDescent="0.55000000000000004">
      <c r="A311" s="104" t="s">
        <v>949</v>
      </c>
      <c r="B311" s="105" t="s">
        <v>950</v>
      </c>
      <c r="C311" s="100" t="s">
        <v>265</v>
      </c>
      <c r="D311" s="106" t="s">
        <v>806</v>
      </c>
      <c r="E311" s="101" t="s">
        <v>1152</v>
      </c>
      <c r="F311" s="102">
        <v>0</v>
      </c>
      <c r="G311" s="100" t="s">
        <v>1153</v>
      </c>
      <c r="H311" s="99">
        <v>309</v>
      </c>
      <c r="I311" s="99">
        <f>VLOOKUP(G311,m2mFormatLUT!$B$2:$D$17,2,FALSE)</f>
        <v>0</v>
      </c>
      <c r="J311" s="99" t="str">
        <f>IF(E311=m2mFormatLUT!$A$2,CONCATENATE(DEC2HEX(I311,1),DEC2HEX(H311,3)),CONCATENATE(DEC2HEX(240,2),DEC2HEX(I311,1),DEC2HEX(H311,5)))</f>
        <v>0135</v>
      </c>
      <c r="K311" s="99">
        <v>0</v>
      </c>
      <c r="L311" s="99">
        <f>IF(I311=6,(LEN(K311)+1)*8,IF(I311=7,(1 + HEX2DEC(MID(K311,3,FIND(",",K311)-3)))*8,IF(I311=14,(LEN(K311)+1)*16,IF(I311=15,(1 + HEX2DEC(MID(K311,3,FIND(",",K311)-3)))*16,VLOOKUP(G311,m2mFormatLUT!$B$2:$D$17,3,FALSE)))))</f>
        <v>1</v>
      </c>
    </row>
    <row r="312" spans="1:14" x14ac:dyDescent="0.55000000000000004">
      <c r="A312" s="108" t="s">
        <v>953</v>
      </c>
      <c r="B312" s="105" t="s">
        <v>954</v>
      </c>
      <c r="C312" s="100" t="s">
        <v>265</v>
      </c>
      <c r="D312" s="106" t="s">
        <v>952</v>
      </c>
      <c r="E312" s="101" t="s">
        <v>1152</v>
      </c>
      <c r="F312" s="102">
        <v>0</v>
      </c>
      <c r="G312" s="100" t="s">
        <v>1153</v>
      </c>
      <c r="H312" s="99">
        <v>310</v>
      </c>
      <c r="I312" s="99">
        <f>VLOOKUP(G312,m2mFormatLUT!$B$2:$D$17,2,FALSE)</f>
        <v>0</v>
      </c>
      <c r="J312" s="99" t="str">
        <f>IF(E312=m2mFormatLUT!$A$2,CONCATENATE(DEC2HEX(I312,1),DEC2HEX(H312,3)),CONCATENATE(DEC2HEX(240,2),DEC2HEX(I312,1),DEC2HEX(H312,5)))</f>
        <v>0136</v>
      </c>
      <c r="K312" s="99">
        <v>0</v>
      </c>
      <c r="L312" s="99">
        <f>IF(I312=6,(LEN(K312)+1)*8,IF(I312=7,(1 + HEX2DEC(MID(K312,3,FIND(",",K312)-3)))*8,IF(I312=14,(LEN(K312)+1)*16,IF(I312=15,(1 + HEX2DEC(MID(K312,3,FIND(",",K312)-3)))*16,VLOOKUP(G312,m2mFormatLUT!$B$2:$D$17,3,FALSE)))))</f>
        <v>1</v>
      </c>
      <c r="N312" s="99" t="s">
        <v>1159</v>
      </c>
    </row>
    <row r="313" spans="1:14" x14ac:dyDescent="0.55000000000000004">
      <c r="A313" s="108" t="s">
        <v>955</v>
      </c>
      <c r="B313" s="105" t="s">
        <v>956</v>
      </c>
      <c r="C313" s="100" t="s">
        <v>265</v>
      </c>
      <c r="D313" s="106" t="s">
        <v>952</v>
      </c>
      <c r="E313" s="101" t="s">
        <v>1152</v>
      </c>
      <c r="F313" s="102">
        <v>0</v>
      </c>
      <c r="G313" s="100" t="s">
        <v>1153</v>
      </c>
      <c r="H313" s="99">
        <v>311</v>
      </c>
      <c r="I313" s="99">
        <f>VLOOKUP(G313,m2mFormatLUT!$B$2:$D$17,2,FALSE)</f>
        <v>0</v>
      </c>
      <c r="J313" s="99" t="str">
        <f>IF(E313=m2mFormatLUT!$A$2,CONCATENATE(DEC2HEX(I313,1),DEC2HEX(H313,3)),CONCATENATE(DEC2HEX(240,2),DEC2HEX(I313,1),DEC2HEX(H313,5)))</f>
        <v>0137</v>
      </c>
      <c r="K313" s="99">
        <v>0</v>
      </c>
      <c r="L313" s="99">
        <f>IF(I313=6,(LEN(K313)+1)*8,IF(I313=7,(1 + HEX2DEC(MID(K313,3,FIND(",",K313)-3)))*8,IF(I313=14,(LEN(K313)+1)*16,IF(I313=15,(1 + HEX2DEC(MID(K313,3,FIND(",",K313)-3)))*16,VLOOKUP(G313,m2mFormatLUT!$B$2:$D$17,3,FALSE)))))</f>
        <v>1</v>
      </c>
    </row>
    <row r="314" spans="1:14" x14ac:dyDescent="0.55000000000000004">
      <c r="A314" s="108" t="s">
        <v>957</v>
      </c>
      <c r="B314" s="105" t="s">
        <v>958</v>
      </c>
      <c r="C314" s="100" t="s">
        <v>265</v>
      </c>
      <c r="D314" s="106" t="s">
        <v>952</v>
      </c>
      <c r="E314" s="101" t="s">
        <v>1152</v>
      </c>
      <c r="F314" s="102">
        <v>0</v>
      </c>
      <c r="G314" s="100" t="s">
        <v>1153</v>
      </c>
      <c r="H314" s="99">
        <v>312</v>
      </c>
      <c r="I314" s="99">
        <f>VLOOKUP(G314,m2mFormatLUT!$B$2:$D$17,2,FALSE)</f>
        <v>0</v>
      </c>
      <c r="J314" s="99" t="str">
        <f>IF(E314=m2mFormatLUT!$A$2,CONCATENATE(DEC2HEX(I314,1),DEC2HEX(H314,3)),CONCATENATE(DEC2HEX(240,2),DEC2HEX(I314,1),DEC2HEX(H314,5)))</f>
        <v>0138</v>
      </c>
      <c r="K314" s="99">
        <v>0</v>
      </c>
      <c r="L314" s="99">
        <f>IF(I314=6,(LEN(K314)+1)*8,IF(I314=7,(1 + HEX2DEC(MID(K314,3,FIND(",",K314)-3)))*8,IF(I314=14,(LEN(K314)+1)*16,IF(I314=15,(1 + HEX2DEC(MID(K314,3,FIND(",",K314)-3)))*16,VLOOKUP(G314,m2mFormatLUT!$B$2:$D$17,3,FALSE)))))</f>
        <v>1</v>
      </c>
    </row>
    <row r="315" spans="1:14" x14ac:dyDescent="0.55000000000000004">
      <c r="A315" s="108" t="s">
        <v>959</v>
      </c>
      <c r="B315" s="105" t="s">
        <v>960</v>
      </c>
      <c r="C315" s="100" t="s">
        <v>265</v>
      </c>
      <c r="D315" s="106" t="s">
        <v>952</v>
      </c>
      <c r="E315" s="101" t="s">
        <v>1152</v>
      </c>
      <c r="F315" s="102">
        <v>0</v>
      </c>
      <c r="G315" s="100" t="s">
        <v>1153</v>
      </c>
      <c r="H315" s="99">
        <v>313</v>
      </c>
      <c r="I315" s="99">
        <f>VLOOKUP(G315,m2mFormatLUT!$B$2:$D$17,2,FALSE)</f>
        <v>0</v>
      </c>
      <c r="J315" s="99" t="str">
        <f>IF(E315=m2mFormatLUT!$A$2,CONCATENATE(DEC2HEX(I315,1),DEC2HEX(H315,3)),CONCATENATE(DEC2HEX(240,2),DEC2HEX(I315,1),DEC2HEX(H315,5)))</f>
        <v>0139</v>
      </c>
      <c r="K315" s="99">
        <v>0</v>
      </c>
      <c r="L315" s="99">
        <f>IF(I315=6,(LEN(K315)+1)*8,IF(I315=7,(1 + HEX2DEC(MID(K315,3,FIND(",",K315)-3)))*8,IF(I315=14,(LEN(K315)+1)*16,IF(I315=15,(1 + HEX2DEC(MID(K315,3,FIND(",",K315)-3)))*16,VLOOKUP(G315,m2mFormatLUT!$B$2:$D$17,3,FALSE)))))</f>
        <v>1</v>
      </c>
    </row>
    <row r="316" spans="1:14" x14ac:dyDescent="0.55000000000000004">
      <c r="A316" s="107" t="s">
        <v>961</v>
      </c>
      <c r="B316" s="105" t="s">
        <v>962</v>
      </c>
      <c r="C316" s="100" t="s">
        <v>265</v>
      </c>
      <c r="D316" s="106" t="s">
        <v>952</v>
      </c>
      <c r="E316" s="101" t="s">
        <v>1152</v>
      </c>
      <c r="F316" s="102">
        <v>0</v>
      </c>
      <c r="G316" s="100" t="s">
        <v>1153</v>
      </c>
      <c r="H316" s="99">
        <v>314</v>
      </c>
      <c r="I316" s="99">
        <f>VLOOKUP(G316,m2mFormatLUT!$B$2:$D$17,2,FALSE)</f>
        <v>0</v>
      </c>
      <c r="J316" s="99" t="str">
        <f>IF(E316=m2mFormatLUT!$A$2,CONCATENATE(DEC2HEX(I316,1),DEC2HEX(H316,3)),CONCATENATE(DEC2HEX(240,2),DEC2HEX(I316,1),DEC2HEX(H316,5)))</f>
        <v>013A</v>
      </c>
      <c r="K316" s="99">
        <v>0</v>
      </c>
      <c r="L316" s="99">
        <f>IF(I316=6,(LEN(K316)+1)*8,IF(I316=7,(1 + HEX2DEC(MID(K316,3,FIND(",",K316)-3)))*8,IF(I316=14,(LEN(K316)+1)*16,IF(I316=15,(1 + HEX2DEC(MID(K316,3,FIND(",",K316)-3)))*16,VLOOKUP(G316,m2mFormatLUT!$B$2:$D$17,3,FALSE)))))</f>
        <v>1</v>
      </c>
      <c r="N316" s="99" t="s">
        <v>1155</v>
      </c>
    </row>
    <row r="317" spans="1:14" x14ac:dyDescent="0.55000000000000004">
      <c r="A317" s="107" t="s">
        <v>963</v>
      </c>
      <c r="B317" s="105" t="s">
        <v>964</v>
      </c>
      <c r="C317" s="100" t="s">
        <v>265</v>
      </c>
      <c r="D317" s="106" t="s">
        <v>952</v>
      </c>
      <c r="E317" s="101" t="s">
        <v>1152</v>
      </c>
      <c r="F317" s="102">
        <v>0</v>
      </c>
      <c r="G317" s="100" t="s">
        <v>1153</v>
      </c>
      <c r="H317" s="99">
        <v>315</v>
      </c>
      <c r="I317" s="99">
        <f>VLOOKUP(G317,m2mFormatLUT!$B$2:$D$17,2,FALSE)</f>
        <v>0</v>
      </c>
      <c r="J317" s="99" t="str">
        <f>IF(E317=m2mFormatLUT!$A$2,CONCATENATE(DEC2HEX(I317,1),DEC2HEX(H317,3)),CONCATENATE(DEC2HEX(240,2),DEC2HEX(I317,1),DEC2HEX(H317,5)))</f>
        <v>013B</v>
      </c>
      <c r="K317" s="99">
        <v>0</v>
      </c>
      <c r="L317" s="99">
        <f>IF(I317=6,(LEN(K317)+1)*8,IF(I317=7,(1 + HEX2DEC(MID(K317,3,FIND(",",K317)-3)))*8,IF(I317=14,(LEN(K317)+1)*16,IF(I317=15,(1 + HEX2DEC(MID(K317,3,FIND(",",K317)-3)))*16,VLOOKUP(G317,m2mFormatLUT!$B$2:$D$17,3,FALSE)))))</f>
        <v>1</v>
      </c>
    </row>
    <row r="318" spans="1:14" x14ac:dyDescent="0.55000000000000004">
      <c r="A318" s="104" t="s">
        <v>965</v>
      </c>
      <c r="B318" s="105" t="s">
        <v>966</v>
      </c>
      <c r="C318" s="100" t="s">
        <v>265</v>
      </c>
      <c r="D318" s="106" t="s">
        <v>952</v>
      </c>
      <c r="E318" s="101" t="s">
        <v>1152</v>
      </c>
      <c r="F318" s="102">
        <v>0</v>
      </c>
      <c r="G318" s="100" t="s">
        <v>1153</v>
      </c>
      <c r="H318" s="99">
        <v>316</v>
      </c>
      <c r="I318" s="99">
        <f>VLOOKUP(G318,m2mFormatLUT!$B$2:$D$17,2,FALSE)</f>
        <v>0</v>
      </c>
      <c r="J318" s="99" t="str">
        <f>IF(E318=m2mFormatLUT!$A$2,CONCATENATE(DEC2HEX(I318,1),DEC2HEX(H318,3)),CONCATENATE(DEC2HEX(240,2),DEC2HEX(I318,1),DEC2HEX(H318,5)))</f>
        <v>013C</v>
      </c>
      <c r="K318" s="99">
        <v>0</v>
      </c>
      <c r="L318" s="99">
        <f>IF(I318=6,(LEN(K318)+1)*8,IF(I318=7,(1 + HEX2DEC(MID(K318,3,FIND(",",K318)-3)))*8,IF(I318=14,(LEN(K318)+1)*16,IF(I318=15,(1 + HEX2DEC(MID(K318,3,FIND(",",K318)-3)))*16,VLOOKUP(G318,m2mFormatLUT!$B$2:$D$17,3,FALSE)))))</f>
        <v>1</v>
      </c>
      <c r="N318" s="99" t="s">
        <v>1155</v>
      </c>
    </row>
    <row r="319" spans="1:14" x14ac:dyDescent="0.55000000000000004">
      <c r="A319" s="104" t="s">
        <v>967</v>
      </c>
      <c r="B319" s="105" t="s">
        <v>968</v>
      </c>
      <c r="C319" s="100" t="s">
        <v>265</v>
      </c>
      <c r="D319" s="106" t="s">
        <v>952</v>
      </c>
      <c r="E319" s="101" t="s">
        <v>1152</v>
      </c>
      <c r="F319" s="102">
        <v>0</v>
      </c>
      <c r="G319" s="100" t="s">
        <v>1153</v>
      </c>
      <c r="H319" s="99">
        <v>317</v>
      </c>
      <c r="I319" s="99">
        <f>VLOOKUP(G319,m2mFormatLUT!$B$2:$D$17,2,FALSE)</f>
        <v>0</v>
      </c>
      <c r="J319" s="99" t="str">
        <f>IF(E319=m2mFormatLUT!$A$2,CONCATENATE(DEC2HEX(I319,1),DEC2HEX(H319,3)),CONCATENATE(DEC2HEX(240,2),DEC2HEX(I319,1),DEC2HEX(H319,5)))</f>
        <v>013D</v>
      </c>
      <c r="K319" s="99">
        <v>0</v>
      </c>
      <c r="L319" s="99">
        <f>IF(I319=6,(LEN(K319)+1)*8,IF(I319=7,(1 + HEX2DEC(MID(K319,3,FIND(",",K319)-3)))*8,IF(I319=14,(LEN(K319)+1)*16,IF(I319=15,(1 + HEX2DEC(MID(K319,3,FIND(",",K319)-3)))*16,VLOOKUP(G319,m2mFormatLUT!$B$2:$D$17,3,FALSE)))))</f>
        <v>1</v>
      </c>
    </row>
    <row r="320" spans="1:14" x14ac:dyDescent="0.55000000000000004">
      <c r="A320" s="99" t="s">
        <v>969</v>
      </c>
      <c r="B320" s="105" t="s">
        <v>970</v>
      </c>
      <c r="C320" s="100" t="s">
        <v>265</v>
      </c>
      <c r="D320" s="106" t="s">
        <v>952</v>
      </c>
      <c r="E320" s="101" t="s">
        <v>1152</v>
      </c>
      <c r="F320" s="102">
        <v>0</v>
      </c>
      <c r="G320" s="100" t="s">
        <v>1153</v>
      </c>
      <c r="H320" s="99">
        <v>318</v>
      </c>
      <c r="I320" s="99">
        <f>VLOOKUP(G320,m2mFormatLUT!$B$2:$D$17,2,FALSE)</f>
        <v>0</v>
      </c>
      <c r="J320" s="99" t="str">
        <f>IF(E320=m2mFormatLUT!$A$2,CONCATENATE(DEC2HEX(I320,1),DEC2HEX(H320,3)),CONCATENATE(DEC2HEX(240,2),DEC2HEX(I320,1),DEC2HEX(H320,5)))</f>
        <v>013E</v>
      </c>
      <c r="K320" s="99">
        <v>0</v>
      </c>
      <c r="L320" s="99">
        <f>IF(I320=6,(LEN(K320)+1)*8,IF(I320=7,(1 + HEX2DEC(MID(K320,3,FIND(",",K320)-3)))*8,IF(I320=14,(LEN(K320)+1)*16,IF(I320=15,(1 + HEX2DEC(MID(K320,3,FIND(",",K320)-3)))*16,VLOOKUP(G320,m2mFormatLUT!$B$2:$D$17,3,FALSE)))))</f>
        <v>1</v>
      </c>
    </row>
    <row r="321" spans="1:14" x14ac:dyDescent="0.55000000000000004">
      <c r="A321" s="107" t="s">
        <v>971</v>
      </c>
      <c r="B321" s="105" t="s">
        <v>972</v>
      </c>
      <c r="C321" s="100" t="s">
        <v>265</v>
      </c>
      <c r="D321" s="106" t="s">
        <v>952</v>
      </c>
      <c r="E321" s="101" t="s">
        <v>1152</v>
      </c>
      <c r="F321" s="102">
        <v>0</v>
      </c>
      <c r="G321" s="100" t="s">
        <v>1153</v>
      </c>
      <c r="H321" s="99">
        <v>319</v>
      </c>
      <c r="I321" s="99">
        <f>VLOOKUP(G321,m2mFormatLUT!$B$2:$D$17,2,FALSE)</f>
        <v>0</v>
      </c>
      <c r="J321" s="99" t="str">
        <f>IF(E321=m2mFormatLUT!$A$2,CONCATENATE(DEC2HEX(I321,1),DEC2HEX(H321,3)),CONCATENATE(DEC2HEX(240,2),DEC2HEX(I321,1),DEC2HEX(H321,5)))</f>
        <v>013F</v>
      </c>
      <c r="K321" s="99">
        <v>0</v>
      </c>
      <c r="L321" s="99">
        <f>IF(I321=6,(LEN(K321)+1)*8,IF(I321=7,(1 + HEX2DEC(MID(K321,3,FIND(",",K321)-3)))*8,IF(I321=14,(LEN(K321)+1)*16,IF(I321=15,(1 + HEX2DEC(MID(K321,3,FIND(",",K321)-3)))*16,VLOOKUP(G321,m2mFormatLUT!$B$2:$D$17,3,FALSE)))))</f>
        <v>1</v>
      </c>
      <c r="N321" s="99" t="s">
        <v>1155</v>
      </c>
    </row>
    <row r="322" spans="1:14" x14ac:dyDescent="0.55000000000000004">
      <c r="A322" s="107" t="s">
        <v>973</v>
      </c>
      <c r="B322" s="105" t="s">
        <v>974</v>
      </c>
      <c r="C322" s="100" t="s">
        <v>265</v>
      </c>
      <c r="D322" s="106" t="s">
        <v>952</v>
      </c>
      <c r="E322" s="101" t="s">
        <v>1152</v>
      </c>
      <c r="F322" s="102">
        <v>0</v>
      </c>
      <c r="G322" s="100" t="s">
        <v>1153</v>
      </c>
      <c r="H322" s="99">
        <v>320</v>
      </c>
      <c r="I322" s="99">
        <f>VLOOKUP(G322,m2mFormatLUT!$B$2:$D$17,2,FALSE)</f>
        <v>0</v>
      </c>
      <c r="J322" s="99" t="str">
        <f>IF(E322=m2mFormatLUT!$A$2,CONCATENATE(DEC2HEX(I322,1),DEC2HEX(H322,3)),CONCATENATE(DEC2HEX(240,2),DEC2HEX(I322,1),DEC2HEX(H322,5)))</f>
        <v>0140</v>
      </c>
      <c r="K322" s="99">
        <v>0</v>
      </c>
      <c r="L322" s="99">
        <f>IF(I322=6,(LEN(K322)+1)*8,IF(I322=7,(1 + HEX2DEC(MID(K322,3,FIND(",",K322)-3)))*8,IF(I322=14,(LEN(K322)+1)*16,IF(I322=15,(1 + HEX2DEC(MID(K322,3,FIND(",",K322)-3)))*16,VLOOKUP(G322,m2mFormatLUT!$B$2:$D$17,3,FALSE)))))</f>
        <v>1</v>
      </c>
    </row>
    <row r="323" spans="1:14" x14ac:dyDescent="0.55000000000000004">
      <c r="A323" s="104" t="s">
        <v>975</v>
      </c>
      <c r="B323" s="105" t="s">
        <v>976</v>
      </c>
      <c r="C323" s="100" t="s">
        <v>265</v>
      </c>
      <c r="D323" s="106" t="s">
        <v>952</v>
      </c>
      <c r="E323" s="101" t="s">
        <v>1152</v>
      </c>
      <c r="F323" s="102">
        <v>0</v>
      </c>
      <c r="G323" s="100" t="s">
        <v>1153</v>
      </c>
      <c r="H323" s="99">
        <v>321</v>
      </c>
      <c r="I323" s="99">
        <f>VLOOKUP(G323,m2mFormatLUT!$B$2:$D$17,2,FALSE)</f>
        <v>0</v>
      </c>
      <c r="J323" s="99" t="str">
        <f>IF(E323=m2mFormatLUT!$A$2,CONCATENATE(DEC2HEX(I323,1),DEC2HEX(H323,3)),CONCATENATE(DEC2HEX(240,2),DEC2HEX(I323,1),DEC2HEX(H323,5)))</f>
        <v>0141</v>
      </c>
      <c r="K323" s="99">
        <v>0</v>
      </c>
      <c r="L323" s="99">
        <f>IF(I323=6,(LEN(K323)+1)*8,IF(I323=7,(1 + HEX2DEC(MID(K323,3,FIND(",",K323)-3)))*8,IF(I323=14,(LEN(K323)+1)*16,IF(I323=15,(1 + HEX2DEC(MID(K323,3,FIND(",",K323)-3)))*16,VLOOKUP(G323,m2mFormatLUT!$B$2:$D$17,3,FALSE)))))</f>
        <v>1</v>
      </c>
      <c r="N323" s="99" t="s">
        <v>1155</v>
      </c>
    </row>
    <row r="324" spans="1:14" x14ac:dyDescent="0.55000000000000004">
      <c r="A324" s="104" t="s">
        <v>977</v>
      </c>
      <c r="B324" s="105" t="s">
        <v>978</v>
      </c>
      <c r="C324" s="100" t="s">
        <v>265</v>
      </c>
      <c r="D324" s="106" t="s">
        <v>952</v>
      </c>
      <c r="E324" s="101" t="s">
        <v>1152</v>
      </c>
      <c r="F324" s="102">
        <v>0</v>
      </c>
      <c r="G324" s="100" t="s">
        <v>1153</v>
      </c>
      <c r="H324" s="99">
        <v>322</v>
      </c>
      <c r="I324" s="99">
        <f>VLOOKUP(G324,m2mFormatLUT!$B$2:$D$17,2,FALSE)</f>
        <v>0</v>
      </c>
      <c r="J324" s="99" t="str">
        <f>IF(E324=m2mFormatLUT!$A$2,CONCATENATE(DEC2HEX(I324,1),DEC2HEX(H324,3)),CONCATENATE(DEC2HEX(240,2),DEC2HEX(I324,1),DEC2HEX(H324,5)))</f>
        <v>0142</v>
      </c>
      <c r="K324" s="99">
        <v>0</v>
      </c>
      <c r="L324" s="99">
        <f>IF(I324=6,(LEN(K324)+1)*8,IF(I324=7,(1 + HEX2DEC(MID(K324,3,FIND(",",K324)-3)))*8,IF(I324=14,(LEN(K324)+1)*16,IF(I324=15,(1 + HEX2DEC(MID(K324,3,FIND(",",K324)-3)))*16,VLOOKUP(G324,m2mFormatLUT!$B$2:$D$17,3,FALSE)))))</f>
        <v>1</v>
      </c>
    </row>
    <row r="325" spans="1:14" x14ac:dyDescent="0.55000000000000004">
      <c r="A325" s="107" t="s">
        <v>979</v>
      </c>
      <c r="B325" s="105" t="s">
        <v>980</v>
      </c>
      <c r="C325" s="100" t="s">
        <v>265</v>
      </c>
      <c r="D325" s="106" t="s">
        <v>952</v>
      </c>
      <c r="E325" s="101" t="s">
        <v>1152</v>
      </c>
      <c r="F325" s="102">
        <v>0</v>
      </c>
      <c r="G325" s="100" t="s">
        <v>1153</v>
      </c>
      <c r="H325" s="99">
        <v>323</v>
      </c>
      <c r="I325" s="99">
        <f>VLOOKUP(G325,m2mFormatLUT!$B$2:$D$17,2,FALSE)</f>
        <v>0</v>
      </c>
      <c r="J325" s="99" t="str">
        <f>IF(E325=m2mFormatLUT!$A$2,CONCATENATE(DEC2HEX(I325,1),DEC2HEX(H325,3)),CONCATENATE(DEC2HEX(240,2),DEC2HEX(I325,1),DEC2HEX(H325,5)))</f>
        <v>0143</v>
      </c>
      <c r="K325" s="99">
        <v>0</v>
      </c>
      <c r="L325" s="99">
        <f>IF(I325=6,(LEN(K325)+1)*8,IF(I325=7,(1 + HEX2DEC(MID(K325,3,FIND(",",K325)-3)))*8,IF(I325=14,(LEN(K325)+1)*16,IF(I325=15,(1 + HEX2DEC(MID(K325,3,FIND(",",K325)-3)))*16,VLOOKUP(G325,m2mFormatLUT!$B$2:$D$17,3,FALSE)))))</f>
        <v>1</v>
      </c>
      <c r="N325" s="99" t="s">
        <v>1155</v>
      </c>
    </row>
    <row r="326" spans="1:14" x14ac:dyDescent="0.55000000000000004">
      <c r="A326" s="107" t="s">
        <v>981</v>
      </c>
      <c r="B326" s="105" t="s">
        <v>982</v>
      </c>
      <c r="C326" s="100" t="s">
        <v>265</v>
      </c>
      <c r="D326" s="106" t="s">
        <v>952</v>
      </c>
      <c r="E326" s="101" t="s">
        <v>1152</v>
      </c>
      <c r="F326" s="102">
        <v>0</v>
      </c>
      <c r="G326" s="100" t="s">
        <v>1153</v>
      </c>
      <c r="H326" s="99">
        <v>324</v>
      </c>
      <c r="I326" s="99">
        <f>VLOOKUP(G326,m2mFormatLUT!$B$2:$D$17,2,FALSE)</f>
        <v>0</v>
      </c>
      <c r="J326" s="99" t="str">
        <f>IF(E326=m2mFormatLUT!$A$2,CONCATENATE(DEC2HEX(I326,1),DEC2HEX(H326,3)),CONCATENATE(DEC2HEX(240,2),DEC2HEX(I326,1),DEC2HEX(H326,5)))</f>
        <v>0144</v>
      </c>
      <c r="K326" s="99">
        <v>0</v>
      </c>
      <c r="L326" s="99">
        <f>IF(I326=6,(LEN(K326)+1)*8,IF(I326=7,(1 + HEX2DEC(MID(K326,3,FIND(",",K326)-3)))*8,IF(I326=14,(LEN(K326)+1)*16,IF(I326=15,(1 + HEX2DEC(MID(K326,3,FIND(",",K326)-3)))*16,VLOOKUP(G326,m2mFormatLUT!$B$2:$D$17,3,FALSE)))))</f>
        <v>1</v>
      </c>
    </row>
    <row r="327" spans="1:14" x14ac:dyDescent="0.55000000000000004">
      <c r="A327" s="99" t="s">
        <v>983</v>
      </c>
      <c r="B327" s="105" t="s">
        <v>984</v>
      </c>
      <c r="C327" s="100" t="s">
        <v>265</v>
      </c>
      <c r="D327" s="106" t="s">
        <v>952</v>
      </c>
      <c r="E327" s="101" t="s">
        <v>1152</v>
      </c>
      <c r="F327" s="102">
        <v>0</v>
      </c>
      <c r="G327" s="100" t="s">
        <v>1153</v>
      </c>
      <c r="H327" s="99">
        <v>325</v>
      </c>
      <c r="I327" s="99">
        <f>VLOOKUP(G327,m2mFormatLUT!$B$2:$D$17,2,FALSE)</f>
        <v>0</v>
      </c>
      <c r="J327" s="99" t="str">
        <f>IF(E327=m2mFormatLUT!$A$2,CONCATENATE(DEC2HEX(I327,1),DEC2HEX(H327,3)),CONCATENATE(DEC2HEX(240,2),DEC2HEX(I327,1),DEC2HEX(H327,5)))</f>
        <v>0145</v>
      </c>
      <c r="K327" s="99">
        <v>0</v>
      </c>
      <c r="L327" s="99">
        <f>IF(I327=6,(LEN(K327)+1)*8,IF(I327=7,(1 + HEX2DEC(MID(K327,3,FIND(",",K327)-3)))*8,IF(I327=14,(LEN(K327)+1)*16,IF(I327=15,(1 + HEX2DEC(MID(K327,3,FIND(",",K327)-3)))*16,VLOOKUP(G327,m2mFormatLUT!$B$2:$D$17,3,FALSE)))))</f>
        <v>1</v>
      </c>
    </row>
    <row r="328" spans="1:14" x14ac:dyDescent="0.55000000000000004">
      <c r="A328" s="104" t="s">
        <v>985</v>
      </c>
      <c r="B328" s="105" t="s">
        <v>986</v>
      </c>
      <c r="C328" s="100" t="s">
        <v>265</v>
      </c>
      <c r="D328" s="106" t="s">
        <v>952</v>
      </c>
      <c r="E328" s="101" t="s">
        <v>1152</v>
      </c>
      <c r="F328" s="102">
        <v>0</v>
      </c>
      <c r="G328" s="100" t="s">
        <v>1153</v>
      </c>
      <c r="H328" s="99">
        <v>326</v>
      </c>
      <c r="I328" s="99">
        <f>VLOOKUP(G328,m2mFormatLUT!$B$2:$D$17,2,FALSE)</f>
        <v>0</v>
      </c>
      <c r="J328" s="99" t="str">
        <f>IF(E328=m2mFormatLUT!$A$2,CONCATENATE(DEC2HEX(I328,1),DEC2HEX(H328,3)),CONCATENATE(DEC2HEX(240,2),DEC2HEX(I328,1),DEC2HEX(H328,5)))</f>
        <v>0146</v>
      </c>
      <c r="K328" s="99">
        <v>0</v>
      </c>
      <c r="L328" s="99">
        <f>IF(I328=6,(LEN(K328)+1)*8,IF(I328=7,(1 + HEX2DEC(MID(K328,3,FIND(",",K328)-3)))*8,IF(I328=14,(LEN(K328)+1)*16,IF(I328=15,(1 + HEX2DEC(MID(K328,3,FIND(",",K328)-3)))*16,VLOOKUP(G328,m2mFormatLUT!$B$2:$D$17,3,FALSE)))))</f>
        <v>1</v>
      </c>
      <c r="N328" s="99" t="s">
        <v>1155</v>
      </c>
    </row>
    <row r="329" spans="1:14" x14ac:dyDescent="0.55000000000000004">
      <c r="A329" s="104" t="s">
        <v>987</v>
      </c>
      <c r="B329" s="105" t="s">
        <v>988</v>
      </c>
      <c r="C329" s="100" t="s">
        <v>265</v>
      </c>
      <c r="D329" s="106" t="s">
        <v>952</v>
      </c>
      <c r="E329" s="101" t="s">
        <v>1152</v>
      </c>
      <c r="F329" s="102">
        <v>0</v>
      </c>
      <c r="G329" s="100" t="s">
        <v>1153</v>
      </c>
      <c r="H329" s="99">
        <v>327</v>
      </c>
      <c r="I329" s="99">
        <f>VLOOKUP(G329,m2mFormatLUT!$B$2:$D$17,2,FALSE)</f>
        <v>0</v>
      </c>
      <c r="J329" s="99" t="str">
        <f>IF(E329=m2mFormatLUT!$A$2,CONCATENATE(DEC2HEX(I329,1),DEC2HEX(H329,3)),CONCATENATE(DEC2HEX(240,2),DEC2HEX(I329,1),DEC2HEX(H329,5)))</f>
        <v>0147</v>
      </c>
      <c r="K329" s="99">
        <v>0</v>
      </c>
      <c r="L329" s="99">
        <f>IF(I329=6,(LEN(K329)+1)*8,IF(I329=7,(1 + HEX2DEC(MID(K329,3,FIND(",",K329)-3)))*8,IF(I329=14,(LEN(K329)+1)*16,IF(I329=15,(1 + HEX2DEC(MID(K329,3,FIND(",",K329)-3)))*16,VLOOKUP(G329,m2mFormatLUT!$B$2:$D$17,3,FALSE)))))</f>
        <v>1</v>
      </c>
    </row>
    <row r="330" spans="1:14" x14ac:dyDescent="0.55000000000000004">
      <c r="A330" s="99" t="s">
        <v>989</v>
      </c>
      <c r="B330" s="105" t="s">
        <v>990</v>
      </c>
      <c r="C330" s="100" t="s">
        <v>265</v>
      </c>
      <c r="D330" s="106" t="s">
        <v>952</v>
      </c>
      <c r="E330" s="101" t="s">
        <v>1152</v>
      </c>
      <c r="F330" s="102">
        <v>0</v>
      </c>
      <c r="G330" s="100" t="s">
        <v>1153</v>
      </c>
      <c r="H330" s="99">
        <v>328</v>
      </c>
      <c r="I330" s="99">
        <f>VLOOKUP(G330,m2mFormatLUT!$B$2:$D$17,2,FALSE)</f>
        <v>0</v>
      </c>
      <c r="J330" s="99" t="str">
        <f>IF(E330=m2mFormatLUT!$A$2,CONCATENATE(DEC2HEX(I330,1),DEC2HEX(H330,3)),CONCATENATE(DEC2HEX(240,2),DEC2HEX(I330,1),DEC2HEX(H330,5)))</f>
        <v>0148</v>
      </c>
      <c r="K330" s="99">
        <v>0</v>
      </c>
      <c r="L330" s="99">
        <f>IF(I330=6,(LEN(K330)+1)*8,IF(I330=7,(1 + HEX2DEC(MID(K330,3,FIND(",",K330)-3)))*8,IF(I330=14,(LEN(K330)+1)*16,IF(I330=15,(1 + HEX2DEC(MID(K330,3,FIND(",",K330)-3)))*16,VLOOKUP(G330,m2mFormatLUT!$B$2:$D$17,3,FALSE)))))</f>
        <v>1</v>
      </c>
    </row>
    <row r="331" spans="1:14" x14ac:dyDescent="0.55000000000000004">
      <c r="A331" s="99" t="s">
        <v>991</v>
      </c>
      <c r="B331" s="105" t="s">
        <v>992</v>
      </c>
      <c r="C331" s="100" t="s">
        <v>265</v>
      </c>
      <c r="D331" s="106" t="s">
        <v>952</v>
      </c>
      <c r="E331" s="101" t="s">
        <v>1152</v>
      </c>
      <c r="F331" s="102">
        <v>0</v>
      </c>
      <c r="G331" s="100" t="s">
        <v>1153</v>
      </c>
      <c r="H331" s="99">
        <v>329</v>
      </c>
      <c r="I331" s="99">
        <f>VLOOKUP(G331,m2mFormatLUT!$B$2:$D$17,2,FALSE)</f>
        <v>0</v>
      </c>
      <c r="J331" s="99" t="str">
        <f>IF(E331=m2mFormatLUT!$A$2,CONCATENATE(DEC2HEX(I331,1),DEC2HEX(H331,3)),CONCATENATE(DEC2HEX(240,2),DEC2HEX(I331,1),DEC2HEX(H331,5)))</f>
        <v>0149</v>
      </c>
      <c r="K331" s="99">
        <v>0</v>
      </c>
      <c r="L331" s="99">
        <f>IF(I331=6,(LEN(K331)+1)*8,IF(I331=7,(1 + HEX2DEC(MID(K331,3,FIND(",",K331)-3)))*8,IF(I331=14,(LEN(K331)+1)*16,IF(I331=15,(1 + HEX2DEC(MID(K331,3,FIND(",",K331)-3)))*16,VLOOKUP(G331,m2mFormatLUT!$B$2:$D$17,3,FALSE)))))</f>
        <v>1</v>
      </c>
    </row>
    <row r="332" spans="1:14" x14ac:dyDescent="0.55000000000000004">
      <c r="A332" s="107" t="s">
        <v>993</v>
      </c>
      <c r="B332" s="105" t="s">
        <v>994</v>
      </c>
      <c r="C332" s="100" t="s">
        <v>265</v>
      </c>
      <c r="D332" s="106" t="s">
        <v>952</v>
      </c>
      <c r="E332" s="101" t="s">
        <v>1152</v>
      </c>
      <c r="F332" s="102">
        <v>0</v>
      </c>
      <c r="G332" s="100" t="s">
        <v>1153</v>
      </c>
      <c r="H332" s="99">
        <v>330</v>
      </c>
      <c r="I332" s="99">
        <f>VLOOKUP(G332,m2mFormatLUT!$B$2:$D$17,2,FALSE)</f>
        <v>0</v>
      </c>
      <c r="J332" s="99" t="str">
        <f>IF(E332=m2mFormatLUT!$A$2,CONCATENATE(DEC2HEX(I332,1),DEC2HEX(H332,3)),CONCATENATE(DEC2HEX(240,2),DEC2HEX(I332,1),DEC2HEX(H332,5)))</f>
        <v>014A</v>
      </c>
      <c r="K332" s="99">
        <v>0</v>
      </c>
      <c r="L332" s="99">
        <f>IF(I332=6,(LEN(K332)+1)*8,IF(I332=7,(1 + HEX2DEC(MID(K332,3,FIND(",",K332)-3)))*8,IF(I332=14,(LEN(K332)+1)*16,IF(I332=15,(1 + HEX2DEC(MID(K332,3,FIND(",",K332)-3)))*16,VLOOKUP(G332,m2mFormatLUT!$B$2:$D$17,3,FALSE)))))</f>
        <v>1</v>
      </c>
      <c r="N332" s="99" t="s">
        <v>1155</v>
      </c>
    </row>
    <row r="333" spans="1:14" x14ac:dyDescent="0.55000000000000004">
      <c r="A333" s="107" t="s">
        <v>995</v>
      </c>
      <c r="B333" s="105" t="s">
        <v>996</v>
      </c>
      <c r="C333" s="100" t="s">
        <v>265</v>
      </c>
      <c r="D333" s="106" t="s">
        <v>952</v>
      </c>
      <c r="E333" s="101" t="s">
        <v>1152</v>
      </c>
      <c r="F333" s="102">
        <v>0</v>
      </c>
      <c r="G333" s="100" t="s">
        <v>1153</v>
      </c>
      <c r="H333" s="99">
        <v>331</v>
      </c>
      <c r="I333" s="99">
        <f>VLOOKUP(G333,m2mFormatLUT!$B$2:$D$17,2,FALSE)</f>
        <v>0</v>
      </c>
      <c r="J333" s="99" t="str">
        <f>IF(E333=m2mFormatLUT!$A$2,CONCATENATE(DEC2HEX(I333,1),DEC2HEX(H333,3)),CONCATENATE(DEC2HEX(240,2),DEC2HEX(I333,1),DEC2HEX(H333,5)))</f>
        <v>014B</v>
      </c>
      <c r="K333" s="99">
        <v>0</v>
      </c>
      <c r="L333" s="99">
        <f>IF(I333=6,(LEN(K333)+1)*8,IF(I333=7,(1 + HEX2DEC(MID(K333,3,FIND(",",K333)-3)))*8,IF(I333=14,(LEN(K333)+1)*16,IF(I333=15,(1 + HEX2DEC(MID(K333,3,FIND(",",K333)-3)))*16,VLOOKUP(G333,m2mFormatLUT!$B$2:$D$17,3,FALSE)))))</f>
        <v>1</v>
      </c>
    </row>
    <row r="334" spans="1:14" x14ac:dyDescent="0.55000000000000004">
      <c r="A334" s="99" t="s">
        <v>997</v>
      </c>
      <c r="B334" s="105" t="s">
        <v>998</v>
      </c>
      <c r="C334" s="100" t="s">
        <v>265</v>
      </c>
      <c r="D334" s="106" t="s">
        <v>952</v>
      </c>
      <c r="E334" s="101" t="s">
        <v>1152</v>
      </c>
      <c r="F334" s="102">
        <v>0</v>
      </c>
      <c r="G334" s="100" t="s">
        <v>1153</v>
      </c>
      <c r="H334" s="99">
        <v>332</v>
      </c>
      <c r="I334" s="99">
        <f>VLOOKUP(G334,m2mFormatLUT!$B$2:$D$17,2,FALSE)</f>
        <v>0</v>
      </c>
      <c r="J334" s="99" t="str">
        <f>IF(E334=m2mFormatLUT!$A$2,CONCATENATE(DEC2HEX(I334,1),DEC2HEX(H334,3)),CONCATENATE(DEC2HEX(240,2),DEC2HEX(I334,1),DEC2HEX(H334,5)))</f>
        <v>014C</v>
      </c>
      <c r="K334" s="99">
        <v>0</v>
      </c>
      <c r="L334" s="99">
        <f>IF(I334=6,(LEN(K334)+1)*8,IF(I334=7,(1 + HEX2DEC(MID(K334,3,FIND(",",K334)-3)))*8,IF(I334=14,(LEN(K334)+1)*16,IF(I334=15,(1 + HEX2DEC(MID(K334,3,FIND(",",K334)-3)))*16,VLOOKUP(G334,m2mFormatLUT!$B$2:$D$17,3,FALSE)))))</f>
        <v>1</v>
      </c>
    </row>
    <row r="335" spans="1:14" x14ac:dyDescent="0.55000000000000004">
      <c r="A335" s="99" t="s">
        <v>999</v>
      </c>
      <c r="B335" s="105" t="s">
        <v>1000</v>
      </c>
      <c r="C335" s="100" t="s">
        <v>265</v>
      </c>
      <c r="D335" s="106" t="s">
        <v>952</v>
      </c>
      <c r="E335" s="101" t="s">
        <v>1152</v>
      </c>
      <c r="F335" s="102">
        <v>0</v>
      </c>
      <c r="G335" s="100" t="s">
        <v>1153</v>
      </c>
      <c r="H335" s="99">
        <v>333</v>
      </c>
      <c r="I335" s="99">
        <f>VLOOKUP(G335,m2mFormatLUT!$B$2:$D$17,2,FALSE)</f>
        <v>0</v>
      </c>
      <c r="J335" s="99" t="str">
        <f>IF(E335=m2mFormatLUT!$A$2,CONCATENATE(DEC2HEX(I335,1),DEC2HEX(H335,3)),CONCATENATE(DEC2HEX(240,2),DEC2HEX(I335,1),DEC2HEX(H335,5)))</f>
        <v>014D</v>
      </c>
      <c r="K335" s="99">
        <v>0</v>
      </c>
      <c r="L335" s="99">
        <f>IF(I335=6,(LEN(K335)+1)*8,IF(I335=7,(1 + HEX2DEC(MID(K335,3,FIND(",",K335)-3)))*8,IF(I335=14,(LEN(K335)+1)*16,IF(I335=15,(1 + HEX2DEC(MID(K335,3,FIND(",",K335)-3)))*16,VLOOKUP(G335,m2mFormatLUT!$B$2:$D$17,3,FALSE)))))</f>
        <v>1</v>
      </c>
    </row>
    <row r="336" spans="1:14" x14ac:dyDescent="0.55000000000000004">
      <c r="A336" s="104" t="s">
        <v>1001</v>
      </c>
      <c r="B336" s="105" t="s">
        <v>1002</v>
      </c>
      <c r="C336" s="100" t="s">
        <v>265</v>
      </c>
      <c r="D336" s="106" t="s">
        <v>952</v>
      </c>
      <c r="E336" s="101" t="s">
        <v>1152</v>
      </c>
      <c r="F336" s="102">
        <v>0</v>
      </c>
      <c r="G336" s="100" t="s">
        <v>1153</v>
      </c>
      <c r="H336" s="99">
        <v>334</v>
      </c>
      <c r="I336" s="99">
        <f>VLOOKUP(G336,m2mFormatLUT!$B$2:$D$17,2,FALSE)</f>
        <v>0</v>
      </c>
      <c r="J336" s="99" t="str">
        <f>IF(E336=m2mFormatLUT!$A$2,CONCATENATE(DEC2HEX(I336,1),DEC2HEX(H336,3)),CONCATENATE(DEC2HEX(240,2),DEC2HEX(I336,1),DEC2HEX(H336,5)))</f>
        <v>014E</v>
      </c>
      <c r="K336" s="99">
        <v>0</v>
      </c>
      <c r="L336" s="99">
        <f>IF(I336=6,(LEN(K336)+1)*8,IF(I336=7,(1 + HEX2DEC(MID(K336,3,FIND(",",K336)-3)))*8,IF(I336=14,(LEN(K336)+1)*16,IF(I336=15,(1 + HEX2DEC(MID(K336,3,FIND(",",K336)-3)))*16,VLOOKUP(G336,m2mFormatLUT!$B$2:$D$17,3,FALSE)))))</f>
        <v>1</v>
      </c>
      <c r="N336" s="99" t="s">
        <v>1155</v>
      </c>
    </row>
    <row r="337" spans="1:14" x14ac:dyDescent="0.55000000000000004">
      <c r="A337" s="104" t="s">
        <v>1003</v>
      </c>
      <c r="B337" s="105" t="s">
        <v>1004</v>
      </c>
      <c r="C337" s="100" t="s">
        <v>265</v>
      </c>
      <c r="D337" s="106" t="s">
        <v>952</v>
      </c>
      <c r="E337" s="101" t="s">
        <v>1152</v>
      </c>
      <c r="F337" s="102">
        <v>0</v>
      </c>
      <c r="G337" s="100" t="s">
        <v>1153</v>
      </c>
      <c r="H337" s="99">
        <v>335</v>
      </c>
      <c r="I337" s="99">
        <f>VLOOKUP(G337,m2mFormatLUT!$B$2:$D$17,2,FALSE)</f>
        <v>0</v>
      </c>
      <c r="J337" s="99" t="str">
        <f>IF(E337=m2mFormatLUT!$A$2,CONCATENATE(DEC2HEX(I337,1),DEC2HEX(H337,3)),CONCATENATE(DEC2HEX(240,2),DEC2HEX(I337,1),DEC2HEX(H337,5)))</f>
        <v>014F</v>
      </c>
      <c r="K337" s="99">
        <v>0</v>
      </c>
      <c r="L337" s="99">
        <f>IF(I337=6,(LEN(K337)+1)*8,IF(I337=7,(1 + HEX2DEC(MID(K337,3,FIND(",",K337)-3)))*8,IF(I337=14,(LEN(K337)+1)*16,IF(I337=15,(1 + HEX2DEC(MID(K337,3,FIND(",",K337)-3)))*16,VLOOKUP(G337,m2mFormatLUT!$B$2:$D$17,3,FALSE)))))</f>
        <v>1</v>
      </c>
    </row>
    <row r="338" spans="1:14" x14ac:dyDescent="0.55000000000000004">
      <c r="A338" s="99" t="s">
        <v>1005</v>
      </c>
      <c r="B338" s="105" t="s">
        <v>1006</v>
      </c>
      <c r="C338" s="100" t="s">
        <v>265</v>
      </c>
      <c r="D338" s="106" t="s">
        <v>952</v>
      </c>
      <c r="E338" s="101" t="s">
        <v>1152</v>
      </c>
      <c r="F338" s="102">
        <v>0</v>
      </c>
      <c r="G338" s="100" t="s">
        <v>1153</v>
      </c>
      <c r="H338" s="99">
        <v>336</v>
      </c>
      <c r="I338" s="99">
        <f>VLOOKUP(G338,m2mFormatLUT!$B$2:$D$17,2,FALSE)</f>
        <v>0</v>
      </c>
      <c r="J338" s="99" t="str">
        <f>IF(E338=m2mFormatLUT!$A$2,CONCATENATE(DEC2HEX(I338,1),DEC2HEX(H338,3)),CONCATENATE(DEC2HEX(240,2),DEC2HEX(I338,1),DEC2HEX(H338,5)))</f>
        <v>0150</v>
      </c>
      <c r="K338" s="99">
        <v>0</v>
      </c>
      <c r="L338" s="99">
        <f>IF(I338=6,(LEN(K338)+1)*8,IF(I338=7,(1 + HEX2DEC(MID(K338,3,FIND(",",K338)-3)))*8,IF(I338=14,(LEN(K338)+1)*16,IF(I338=15,(1 + HEX2DEC(MID(K338,3,FIND(",",K338)-3)))*16,VLOOKUP(G338,m2mFormatLUT!$B$2:$D$17,3,FALSE)))))</f>
        <v>1</v>
      </c>
    </row>
    <row r="339" spans="1:14" x14ac:dyDescent="0.55000000000000004">
      <c r="A339" s="107" t="s">
        <v>1007</v>
      </c>
      <c r="B339" s="105" t="s">
        <v>1008</v>
      </c>
      <c r="C339" s="100" t="s">
        <v>265</v>
      </c>
      <c r="D339" s="106" t="s">
        <v>952</v>
      </c>
      <c r="E339" s="101" t="s">
        <v>1152</v>
      </c>
      <c r="F339" s="102">
        <v>0</v>
      </c>
      <c r="G339" s="100" t="s">
        <v>1153</v>
      </c>
      <c r="H339" s="99">
        <v>337</v>
      </c>
      <c r="I339" s="99">
        <f>VLOOKUP(G339,m2mFormatLUT!$B$2:$D$17,2,FALSE)</f>
        <v>0</v>
      </c>
      <c r="J339" s="99" t="str">
        <f>IF(E339=m2mFormatLUT!$A$2,CONCATENATE(DEC2HEX(I339,1),DEC2HEX(H339,3)),CONCATENATE(DEC2HEX(240,2),DEC2HEX(I339,1),DEC2HEX(H339,5)))</f>
        <v>0151</v>
      </c>
      <c r="K339" s="99">
        <v>0</v>
      </c>
      <c r="L339" s="99">
        <f>IF(I339=6,(LEN(K339)+1)*8,IF(I339=7,(1 + HEX2DEC(MID(K339,3,FIND(",",K339)-3)))*8,IF(I339=14,(LEN(K339)+1)*16,IF(I339=15,(1 + HEX2DEC(MID(K339,3,FIND(",",K339)-3)))*16,VLOOKUP(G339,m2mFormatLUT!$B$2:$D$17,3,FALSE)))))</f>
        <v>1</v>
      </c>
      <c r="N339" s="99" t="s">
        <v>1155</v>
      </c>
    </row>
    <row r="340" spans="1:14" x14ac:dyDescent="0.55000000000000004">
      <c r="A340" s="107" t="s">
        <v>1009</v>
      </c>
      <c r="B340" s="105" t="s">
        <v>1010</v>
      </c>
      <c r="C340" s="100" t="s">
        <v>265</v>
      </c>
      <c r="D340" s="106" t="s">
        <v>952</v>
      </c>
      <c r="E340" s="101" t="s">
        <v>1152</v>
      </c>
      <c r="F340" s="102">
        <v>0</v>
      </c>
      <c r="G340" s="100" t="s">
        <v>1153</v>
      </c>
      <c r="H340" s="99">
        <v>338</v>
      </c>
      <c r="I340" s="99">
        <f>VLOOKUP(G340,m2mFormatLUT!$B$2:$D$17,2,FALSE)</f>
        <v>0</v>
      </c>
      <c r="J340" s="99" t="str">
        <f>IF(E340=m2mFormatLUT!$A$2,CONCATENATE(DEC2HEX(I340,1),DEC2HEX(H340,3)),CONCATENATE(DEC2HEX(240,2),DEC2HEX(I340,1),DEC2HEX(H340,5)))</f>
        <v>0152</v>
      </c>
      <c r="K340" s="99">
        <v>0</v>
      </c>
      <c r="L340" s="99">
        <f>IF(I340=6,(LEN(K340)+1)*8,IF(I340=7,(1 + HEX2DEC(MID(K340,3,FIND(",",K340)-3)))*8,IF(I340=14,(LEN(K340)+1)*16,IF(I340=15,(1 + HEX2DEC(MID(K340,3,FIND(",",K340)-3)))*16,VLOOKUP(G340,m2mFormatLUT!$B$2:$D$17,3,FALSE)))))</f>
        <v>1</v>
      </c>
    </row>
    <row r="341" spans="1:14" x14ac:dyDescent="0.55000000000000004">
      <c r="A341" s="99" t="s">
        <v>1011</v>
      </c>
      <c r="B341" s="105" t="s">
        <v>1012</v>
      </c>
      <c r="C341" s="100" t="s">
        <v>265</v>
      </c>
      <c r="D341" s="106" t="s">
        <v>952</v>
      </c>
      <c r="E341" s="101" t="s">
        <v>1152</v>
      </c>
      <c r="F341" s="102">
        <v>0</v>
      </c>
      <c r="G341" s="100" t="s">
        <v>1153</v>
      </c>
      <c r="H341" s="99">
        <v>339</v>
      </c>
      <c r="I341" s="99">
        <f>VLOOKUP(G341,m2mFormatLUT!$B$2:$D$17,2,FALSE)</f>
        <v>0</v>
      </c>
      <c r="J341" s="99" t="str">
        <f>IF(E341=m2mFormatLUT!$A$2,CONCATENATE(DEC2HEX(I341,1),DEC2HEX(H341,3)),CONCATENATE(DEC2HEX(240,2),DEC2HEX(I341,1),DEC2HEX(H341,5)))</f>
        <v>0153</v>
      </c>
      <c r="K341" s="99">
        <v>0</v>
      </c>
      <c r="L341" s="99">
        <f>IF(I341=6,(LEN(K341)+1)*8,IF(I341=7,(1 + HEX2DEC(MID(K341,3,FIND(",",K341)-3)))*8,IF(I341=14,(LEN(K341)+1)*16,IF(I341=15,(1 + HEX2DEC(MID(K341,3,FIND(",",K341)-3)))*16,VLOOKUP(G341,m2mFormatLUT!$B$2:$D$17,3,FALSE)))))</f>
        <v>1</v>
      </c>
    </row>
    <row r="342" spans="1:14" x14ac:dyDescent="0.55000000000000004">
      <c r="A342" s="99" t="s">
        <v>1013</v>
      </c>
      <c r="B342" s="105" t="s">
        <v>1014</v>
      </c>
      <c r="C342" s="100" t="s">
        <v>265</v>
      </c>
      <c r="D342" s="106" t="s">
        <v>952</v>
      </c>
      <c r="E342" s="101" t="s">
        <v>1152</v>
      </c>
      <c r="F342" s="102">
        <v>0</v>
      </c>
      <c r="G342" s="100" t="s">
        <v>1153</v>
      </c>
      <c r="H342" s="99">
        <v>340</v>
      </c>
      <c r="I342" s="99">
        <f>VLOOKUP(G342,m2mFormatLUT!$B$2:$D$17,2,FALSE)</f>
        <v>0</v>
      </c>
      <c r="J342" s="99" t="str">
        <f>IF(E342=m2mFormatLUT!$A$2,CONCATENATE(DEC2HEX(I342,1),DEC2HEX(H342,3)),CONCATENATE(DEC2HEX(240,2),DEC2HEX(I342,1),DEC2HEX(H342,5)))</f>
        <v>0154</v>
      </c>
      <c r="K342" s="99">
        <v>0</v>
      </c>
      <c r="L342" s="99">
        <f>IF(I342=6,(LEN(K342)+1)*8,IF(I342=7,(1 + HEX2DEC(MID(K342,3,FIND(",",K342)-3)))*8,IF(I342=14,(LEN(K342)+1)*16,IF(I342=15,(1 + HEX2DEC(MID(K342,3,FIND(",",K342)-3)))*16,VLOOKUP(G342,m2mFormatLUT!$B$2:$D$17,3,FALSE)))))</f>
        <v>1</v>
      </c>
    </row>
    <row r="343" spans="1:14" x14ac:dyDescent="0.55000000000000004">
      <c r="A343" s="99" t="s">
        <v>1015</v>
      </c>
      <c r="B343" s="105" t="s">
        <v>1016</v>
      </c>
      <c r="C343" s="100" t="s">
        <v>265</v>
      </c>
      <c r="D343" s="106" t="s">
        <v>952</v>
      </c>
      <c r="E343" s="101" t="s">
        <v>1152</v>
      </c>
      <c r="F343" s="102">
        <v>0</v>
      </c>
      <c r="G343" s="100" t="s">
        <v>1153</v>
      </c>
      <c r="H343" s="99">
        <v>341</v>
      </c>
      <c r="I343" s="99">
        <f>VLOOKUP(G343,m2mFormatLUT!$B$2:$D$17,2,FALSE)</f>
        <v>0</v>
      </c>
      <c r="J343" s="99" t="str">
        <f>IF(E343=m2mFormatLUT!$A$2,CONCATENATE(DEC2HEX(I343,1),DEC2HEX(H343,3)),CONCATENATE(DEC2HEX(240,2),DEC2HEX(I343,1),DEC2HEX(H343,5)))</f>
        <v>0155</v>
      </c>
      <c r="K343" s="99">
        <v>0</v>
      </c>
      <c r="L343" s="99">
        <f>IF(I343=6,(LEN(K343)+1)*8,IF(I343=7,(1 + HEX2DEC(MID(K343,3,FIND(",",K343)-3)))*8,IF(I343=14,(LEN(K343)+1)*16,IF(I343=15,(1 + HEX2DEC(MID(K343,3,FIND(",",K343)-3)))*16,VLOOKUP(G343,m2mFormatLUT!$B$2:$D$17,3,FALSE)))))</f>
        <v>1</v>
      </c>
    </row>
    <row r="344" spans="1:14" x14ac:dyDescent="0.55000000000000004">
      <c r="A344" s="99" t="s">
        <v>1017</v>
      </c>
      <c r="B344" s="105" t="s">
        <v>1018</v>
      </c>
      <c r="C344" s="100" t="s">
        <v>265</v>
      </c>
      <c r="D344" s="106" t="s">
        <v>952</v>
      </c>
      <c r="E344" s="101" t="s">
        <v>1152</v>
      </c>
      <c r="F344" s="102">
        <v>0</v>
      </c>
      <c r="G344" s="100" t="s">
        <v>1153</v>
      </c>
      <c r="H344" s="99">
        <v>342</v>
      </c>
      <c r="I344" s="99">
        <f>VLOOKUP(G344,m2mFormatLUT!$B$2:$D$17,2,FALSE)</f>
        <v>0</v>
      </c>
      <c r="J344" s="99" t="str">
        <f>IF(E344=m2mFormatLUT!$A$2,CONCATENATE(DEC2HEX(I344,1),DEC2HEX(H344,3)),CONCATENATE(DEC2HEX(240,2),DEC2HEX(I344,1),DEC2HEX(H344,5)))</f>
        <v>0156</v>
      </c>
      <c r="K344" s="99">
        <v>0</v>
      </c>
      <c r="L344" s="99">
        <f>IF(I344=6,(LEN(K344)+1)*8,IF(I344=7,(1 + HEX2DEC(MID(K344,3,FIND(",",K344)-3)))*8,IF(I344=14,(LEN(K344)+1)*16,IF(I344=15,(1 + HEX2DEC(MID(K344,3,FIND(",",K344)-3)))*16,VLOOKUP(G344,m2mFormatLUT!$B$2:$D$17,3,FALSE)))))</f>
        <v>1</v>
      </c>
    </row>
    <row r="345" spans="1:14" x14ac:dyDescent="0.55000000000000004">
      <c r="A345" s="99" t="s">
        <v>1019</v>
      </c>
      <c r="B345" s="105" t="s">
        <v>1020</v>
      </c>
      <c r="C345" s="100" t="s">
        <v>265</v>
      </c>
      <c r="D345" s="106" t="s">
        <v>952</v>
      </c>
      <c r="E345" s="101" t="s">
        <v>1152</v>
      </c>
      <c r="F345" s="102">
        <v>0</v>
      </c>
      <c r="G345" s="100" t="s">
        <v>1153</v>
      </c>
      <c r="H345" s="99">
        <v>343</v>
      </c>
      <c r="I345" s="99">
        <f>VLOOKUP(G345,m2mFormatLUT!$B$2:$D$17,2,FALSE)</f>
        <v>0</v>
      </c>
      <c r="J345" s="99" t="str">
        <f>IF(E345=m2mFormatLUT!$A$2,CONCATENATE(DEC2HEX(I345,1),DEC2HEX(H345,3)),CONCATENATE(DEC2HEX(240,2),DEC2HEX(I345,1),DEC2HEX(H345,5)))</f>
        <v>0157</v>
      </c>
      <c r="K345" s="99">
        <v>0</v>
      </c>
      <c r="L345" s="99">
        <f>IF(I345=6,(LEN(K345)+1)*8,IF(I345=7,(1 + HEX2DEC(MID(K345,3,FIND(",",K345)-3)))*8,IF(I345=14,(LEN(K345)+1)*16,IF(I345=15,(1 + HEX2DEC(MID(K345,3,FIND(",",K345)-3)))*16,VLOOKUP(G345,m2mFormatLUT!$B$2:$D$17,3,FALSE)))))</f>
        <v>1</v>
      </c>
    </row>
    <row r="346" spans="1:14" x14ac:dyDescent="0.55000000000000004">
      <c r="A346" s="108" t="s">
        <v>1021</v>
      </c>
      <c r="B346" s="105" t="s">
        <v>1022</v>
      </c>
      <c r="C346" s="100" t="s">
        <v>265</v>
      </c>
      <c r="D346" s="106" t="s">
        <v>952</v>
      </c>
      <c r="E346" s="101" t="s">
        <v>1152</v>
      </c>
      <c r="F346" s="102">
        <v>0</v>
      </c>
      <c r="G346" s="100" t="s">
        <v>1153</v>
      </c>
      <c r="H346" s="99">
        <v>344</v>
      </c>
      <c r="I346" s="99">
        <f>VLOOKUP(G346,m2mFormatLUT!$B$2:$D$17,2,FALSE)</f>
        <v>0</v>
      </c>
      <c r="J346" s="99" t="str">
        <f>IF(E346=m2mFormatLUT!$A$2,CONCATENATE(DEC2HEX(I346,1),DEC2HEX(H346,3)),CONCATENATE(DEC2HEX(240,2),DEC2HEX(I346,1),DEC2HEX(H346,5)))</f>
        <v>0158</v>
      </c>
      <c r="K346" s="99">
        <v>0</v>
      </c>
      <c r="L346" s="99">
        <f>IF(I346=6,(LEN(K346)+1)*8,IF(I346=7,(1 + HEX2DEC(MID(K346,3,FIND(",",K346)-3)))*8,IF(I346=14,(LEN(K346)+1)*16,IF(I346=15,(1 + HEX2DEC(MID(K346,3,FIND(",",K346)-3)))*16,VLOOKUP(G346,m2mFormatLUT!$B$2:$D$17,3,FALSE)))))</f>
        <v>1</v>
      </c>
      <c r="N346" s="99" t="s">
        <v>1155</v>
      </c>
    </row>
    <row r="347" spans="1:14" x14ac:dyDescent="0.55000000000000004">
      <c r="A347" s="108" t="s">
        <v>1023</v>
      </c>
      <c r="B347" s="105" t="s">
        <v>1024</v>
      </c>
      <c r="C347" s="100" t="s">
        <v>265</v>
      </c>
      <c r="D347" s="106" t="s">
        <v>952</v>
      </c>
      <c r="E347" s="101" t="s">
        <v>1152</v>
      </c>
      <c r="F347" s="102">
        <v>0</v>
      </c>
      <c r="G347" s="100" t="s">
        <v>1153</v>
      </c>
      <c r="H347" s="99">
        <v>345</v>
      </c>
      <c r="I347" s="99">
        <f>VLOOKUP(G347,m2mFormatLUT!$B$2:$D$17,2,FALSE)</f>
        <v>0</v>
      </c>
      <c r="J347" s="99" t="str">
        <f>IF(E347=m2mFormatLUT!$A$2,CONCATENATE(DEC2HEX(I347,1),DEC2HEX(H347,3)),CONCATENATE(DEC2HEX(240,2),DEC2HEX(I347,1),DEC2HEX(H347,5)))</f>
        <v>0159</v>
      </c>
      <c r="K347" s="99">
        <v>0</v>
      </c>
      <c r="L347" s="99">
        <f>IF(I347=6,(LEN(K347)+1)*8,IF(I347=7,(1 + HEX2DEC(MID(K347,3,FIND(",",K347)-3)))*8,IF(I347=14,(LEN(K347)+1)*16,IF(I347=15,(1 + HEX2DEC(MID(K347,3,FIND(",",K347)-3)))*16,VLOOKUP(G347,m2mFormatLUT!$B$2:$D$17,3,FALSE)))))</f>
        <v>1</v>
      </c>
    </row>
    <row r="348" spans="1:14" x14ac:dyDescent="0.55000000000000004">
      <c r="A348" s="99" t="s">
        <v>1025</v>
      </c>
      <c r="B348" s="105" t="s">
        <v>1026</v>
      </c>
      <c r="C348" s="100" t="s">
        <v>265</v>
      </c>
      <c r="D348" s="106" t="s">
        <v>952</v>
      </c>
      <c r="E348" s="101" t="s">
        <v>1152</v>
      </c>
      <c r="F348" s="102">
        <v>0</v>
      </c>
      <c r="G348" s="100" t="s">
        <v>1153</v>
      </c>
      <c r="H348" s="99">
        <v>346</v>
      </c>
      <c r="I348" s="99">
        <f>VLOOKUP(G348,m2mFormatLUT!$B$2:$D$17,2,FALSE)</f>
        <v>0</v>
      </c>
      <c r="J348" s="99" t="str">
        <f>IF(E348=m2mFormatLUT!$A$2,CONCATENATE(DEC2HEX(I348,1),DEC2HEX(H348,3)),CONCATENATE(DEC2HEX(240,2),DEC2HEX(I348,1),DEC2HEX(H348,5)))</f>
        <v>015A</v>
      </c>
      <c r="K348" s="99">
        <v>0</v>
      </c>
      <c r="L348" s="99">
        <f>IF(I348=6,(LEN(K348)+1)*8,IF(I348=7,(1 + HEX2DEC(MID(K348,3,FIND(",",K348)-3)))*8,IF(I348=14,(LEN(K348)+1)*16,IF(I348=15,(1 + HEX2DEC(MID(K348,3,FIND(",",K348)-3)))*16,VLOOKUP(G348,m2mFormatLUT!$B$2:$D$17,3,FALSE)))))</f>
        <v>1</v>
      </c>
    </row>
    <row r="349" spans="1:14" x14ac:dyDescent="0.55000000000000004">
      <c r="A349" s="104" t="s">
        <v>1027</v>
      </c>
      <c r="B349" s="105" t="s">
        <v>1028</v>
      </c>
      <c r="C349" s="100" t="s">
        <v>265</v>
      </c>
      <c r="D349" s="106" t="s">
        <v>952</v>
      </c>
      <c r="E349" s="101" t="s">
        <v>1152</v>
      </c>
      <c r="F349" s="102">
        <v>0</v>
      </c>
      <c r="G349" s="100" t="s">
        <v>1153</v>
      </c>
      <c r="H349" s="99">
        <v>347</v>
      </c>
      <c r="I349" s="99">
        <f>VLOOKUP(G349,m2mFormatLUT!$B$2:$D$17,2,FALSE)</f>
        <v>0</v>
      </c>
      <c r="J349" s="99" t="str">
        <f>IF(E349=m2mFormatLUT!$A$2,CONCATENATE(DEC2HEX(I349,1),DEC2HEX(H349,3)),CONCATENATE(DEC2HEX(240,2),DEC2HEX(I349,1),DEC2HEX(H349,5)))</f>
        <v>015B</v>
      </c>
      <c r="K349" s="99">
        <v>0</v>
      </c>
      <c r="L349" s="99">
        <f>IF(I349=6,(LEN(K349)+1)*8,IF(I349=7,(1 + HEX2DEC(MID(K349,3,FIND(",",K349)-3)))*8,IF(I349=14,(LEN(K349)+1)*16,IF(I349=15,(1 + HEX2DEC(MID(K349,3,FIND(",",K349)-3)))*16,VLOOKUP(G349,m2mFormatLUT!$B$2:$D$17,3,FALSE)))))</f>
        <v>1</v>
      </c>
    </row>
    <row r="350" spans="1:14" x14ac:dyDescent="0.55000000000000004">
      <c r="A350" s="104" t="s">
        <v>1029</v>
      </c>
      <c r="B350" s="105" t="s">
        <v>1030</v>
      </c>
      <c r="C350" s="100" t="s">
        <v>265</v>
      </c>
      <c r="D350" s="106" t="s">
        <v>952</v>
      </c>
      <c r="E350" s="101" t="s">
        <v>1152</v>
      </c>
      <c r="F350" s="102">
        <v>0</v>
      </c>
      <c r="G350" s="100" t="s">
        <v>1153</v>
      </c>
      <c r="H350" s="99">
        <v>348</v>
      </c>
      <c r="I350" s="99">
        <f>VLOOKUP(G350,m2mFormatLUT!$B$2:$D$17,2,FALSE)</f>
        <v>0</v>
      </c>
      <c r="J350" s="99" t="str">
        <f>IF(E350=m2mFormatLUT!$A$2,CONCATENATE(DEC2HEX(I350,1),DEC2HEX(H350,3)),CONCATENATE(DEC2HEX(240,2),DEC2HEX(I350,1),DEC2HEX(H350,5)))</f>
        <v>015C</v>
      </c>
      <c r="K350" s="99">
        <v>0</v>
      </c>
      <c r="L350" s="99">
        <f>IF(I350=6,(LEN(K350)+1)*8,IF(I350=7,(1 + HEX2DEC(MID(K350,3,FIND(",",K350)-3)))*8,IF(I350=14,(LEN(K350)+1)*16,IF(I350=15,(1 + HEX2DEC(MID(K350,3,FIND(",",K350)-3)))*16,VLOOKUP(G350,m2mFormatLUT!$B$2:$D$17,3,FALSE)))))</f>
        <v>1</v>
      </c>
    </row>
    <row r="351" spans="1:14" x14ac:dyDescent="0.55000000000000004">
      <c r="A351" s="99" t="s">
        <v>1031</v>
      </c>
      <c r="B351" s="105" t="s">
        <v>1032</v>
      </c>
      <c r="C351" s="100" t="s">
        <v>265</v>
      </c>
      <c r="D351" s="106" t="s">
        <v>952</v>
      </c>
      <c r="E351" s="101" t="s">
        <v>1152</v>
      </c>
      <c r="F351" s="102">
        <v>0</v>
      </c>
      <c r="G351" s="100" t="s">
        <v>1153</v>
      </c>
      <c r="H351" s="99">
        <v>349</v>
      </c>
      <c r="I351" s="99">
        <f>VLOOKUP(G351,m2mFormatLUT!$B$2:$D$17,2,FALSE)</f>
        <v>0</v>
      </c>
      <c r="J351" s="99" t="str">
        <f>IF(E351=m2mFormatLUT!$A$2,CONCATENATE(DEC2HEX(I351,1),DEC2HEX(H351,3)),CONCATENATE(DEC2HEX(240,2),DEC2HEX(I351,1),DEC2HEX(H351,5)))</f>
        <v>015D</v>
      </c>
      <c r="K351" s="99">
        <v>0</v>
      </c>
      <c r="L351" s="99">
        <f>IF(I351=6,(LEN(K351)+1)*8,IF(I351=7,(1 + HEX2DEC(MID(K351,3,FIND(",",K351)-3)))*8,IF(I351=14,(LEN(K351)+1)*16,IF(I351=15,(1 + HEX2DEC(MID(K351,3,FIND(",",K351)-3)))*16,VLOOKUP(G351,m2mFormatLUT!$B$2:$D$17,3,FALSE)))))</f>
        <v>1</v>
      </c>
    </row>
    <row r="352" spans="1:14" x14ac:dyDescent="0.55000000000000004">
      <c r="A352" s="99" t="s">
        <v>1033</v>
      </c>
      <c r="B352" s="105" t="s">
        <v>1034</v>
      </c>
      <c r="C352" s="100" t="s">
        <v>265</v>
      </c>
      <c r="D352" s="106" t="s">
        <v>952</v>
      </c>
      <c r="E352" s="101" t="s">
        <v>1152</v>
      </c>
      <c r="F352" s="102">
        <v>0</v>
      </c>
      <c r="G352" s="100" t="s">
        <v>1153</v>
      </c>
      <c r="H352" s="99">
        <v>350</v>
      </c>
      <c r="I352" s="99">
        <f>VLOOKUP(G352,m2mFormatLUT!$B$2:$D$17,2,FALSE)</f>
        <v>0</v>
      </c>
      <c r="J352" s="99" t="str">
        <f>IF(E352=m2mFormatLUT!$A$2,CONCATENATE(DEC2HEX(I352,1),DEC2HEX(H352,3)),CONCATENATE(DEC2HEX(240,2),DEC2HEX(I352,1),DEC2HEX(H352,5)))</f>
        <v>015E</v>
      </c>
      <c r="K352" s="99">
        <v>0</v>
      </c>
      <c r="L352" s="99">
        <f>IF(I352=6,(LEN(K352)+1)*8,IF(I352=7,(1 + HEX2DEC(MID(K352,3,FIND(",",K352)-3)))*8,IF(I352=14,(LEN(K352)+1)*16,IF(I352=15,(1 + HEX2DEC(MID(K352,3,FIND(",",K352)-3)))*16,VLOOKUP(G352,m2mFormatLUT!$B$2:$D$17,3,FALSE)))))</f>
        <v>1</v>
      </c>
    </row>
    <row r="353" spans="1:14" x14ac:dyDescent="0.55000000000000004">
      <c r="A353" s="107" t="s">
        <v>1035</v>
      </c>
      <c r="B353" s="105" t="s">
        <v>1036</v>
      </c>
      <c r="C353" s="100" t="s">
        <v>265</v>
      </c>
      <c r="D353" s="106" t="s">
        <v>952</v>
      </c>
      <c r="E353" s="101" t="s">
        <v>1152</v>
      </c>
      <c r="F353" s="102">
        <v>0</v>
      </c>
      <c r="G353" s="100" t="s">
        <v>1153</v>
      </c>
      <c r="H353" s="99">
        <v>351</v>
      </c>
      <c r="I353" s="99">
        <f>VLOOKUP(G353,m2mFormatLUT!$B$2:$D$17,2,FALSE)</f>
        <v>0</v>
      </c>
      <c r="J353" s="99" t="str">
        <f>IF(E353=m2mFormatLUT!$A$2,CONCATENATE(DEC2HEX(I353,1),DEC2HEX(H353,3)),CONCATENATE(DEC2HEX(240,2),DEC2HEX(I353,1),DEC2HEX(H353,5)))</f>
        <v>015F</v>
      </c>
      <c r="K353" s="99">
        <v>0</v>
      </c>
      <c r="L353" s="99">
        <f>IF(I353=6,(LEN(K353)+1)*8,IF(I353=7,(1 + HEX2DEC(MID(K353,3,FIND(",",K353)-3)))*8,IF(I353=14,(LEN(K353)+1)*16,IF(I353=15,(1 + HEX2DEC(MID(K353,3,FIND(",",K353)-3)))*16,VLOOKUP(G353,m2mFormatLUT!$B$2:$D$17,3,FALSE)))))</f>
        <v>1</v>
      </c>
    </row>
    <row r="354" spans="1:14" x14ac:dyDescent="0.55000000000000004">
      <c r="A354" s="107" t="s">
        <v>1037</v>
      </c>
      <c r="B354" s="105" t="s">
        <v>1038</v>
      </c>
      <c r="C354" s="100" t="s">
        <v>265</v>
      </c>
      <c r="D354" s="106" t="s">
        <v>952</v>
      </c>
      <c r="E354" s="101" t="s">
        <v>1152</v>
      </c>
      <c r="F354" s="102">
        <v>0</v>
      </c>
      <c r="G354" s="100" t="s">
        <v>1153</v>
      </c>
      <c r="H354" s="99">
        <v>352</v>
      </c>
      <c r="I354" s="99">
        <f>VLOOKUP(G354,m2mFormatLUT!$B$2:$D$17,2,FALSE)</f>
        <v>0</v>
      </c>
      <c r="J354" s="99" t="str">
        <f>IF(E354=m2mFormatLUT!$A$2,CONCATENATE(DEC2HEX(I354,1),DEC2HEX(H354,3)),CONCATENATE(DEC2HEX(240,2),DEC2HEX(I354,1),DEC2HEX(H354,5)))</f>
        <v>0160</v>
      </c>
      <c r="K354" s="99">
        <v>0</v>
      </c>
      <c r="L354" s="99">
        <f>IF(I354=6,(LEN(K354)+1)*8,IF(I354=7,(1 + HEX2DEC(MID(K354,3,FIND(",",K354)-3)))*8,IF(I354=14,(LEN(K354)+1)*16,IF(I354=15,(1 + HEX2DEC(MID(K354,3,FIND(",",K354)-3)))*16,VLOOKUP(G354,m2mFormatLUT!$B$2:$D$17,3,FALSE)))))</f>
        <v>1</v>
      </c>
    </row>
    <row r="355" spans="1:14" x14ac:dyDescent="0.55000000000000004">
      <c r="A355" s="99" t="s">
        <v>1039</v>
      </c>
      <c r="B355" s="105" t="s">
        <v>1040</v>
      </c>
      <c r="C355" s="100" t="s">
        <v>265</v>
      </c>
      <c r="D355" s="106" t="s">
        <v>952</v>
      </c>
      <c r="E355" s="101" t="s">
        <v>1152</v>
      </c>
      <c r="F355" s="102">
        <v>0</v>
      </c>
      <c r="G355" s="100" t="s">
        <v>1153</v>
      </c>
      <c r="H355" s="99">
        <v>353</v>
      </c>
      <c r="I355" s="99">
        <f>VLOOKUP(G355,m2mFormatLUT!$B$2:$D$17,2,FALSE)</f>
        <v>0</v>
      </c>
      <c r="J355" s="99" t="str">
        <f>IF(E355=m2mFormatLUT!$A$2,CONCATENATE(DEC2HEX(I355,1),DEC2HEX(H355,3)),CONCATENATE(DEC2HEX(240,2),DEC2HEX(I355,1),DEC2HEX(H355,5)))</f>
        <v>0161</v>
      </c>
      <c r="K355" s="99">
        <v>0</v>
      </c>
      <c r="L355" s="99">
        <f>IF(I355=6,(LEN(K355)+1)*8,IF(I355=7,(1 + HEX2DEC(MID(K355,3,FIND(",",K355)-3)))*8,IF(I355=14,(LEN(K355)+1)*16,IF(I355=15,(1 + HEX2DEC(MID(K355,3,FIND(",",K355)-3)))*16,VLOOKUP(G355,m2mFormatLUT!$B$2:$D$17,3,FALSE)))))</f>
        <v>1</v>
      </c>
    </row>
    <row r="356" spans="1:14" x14ac:dyDescent="0.55000000000000004">
      <c r="A356" s="99" t="s">
        <v>1041</v>
      </c>
      <c r="B356" s="105" t="s">
        <v>1042</v>
      </c>
      <c r="C356" s="100" t="s">
        <v>265</v>
      </c>
      <c r="D356" s="106" t="s">
        <v>952</v>
      </c>
      <c r="E356" s="101" t="s">
        <v>1152</v>
      </c>
      <c r="F356" s="102">
        <v>0</v>
      </c>
      <c r="G356" s="100" t="s">
        <v>1153</v>
      </c>
      <c r="H356" s="99">
        <v>354</v>
      </c>
      <c r="I356" s="99">
        <f>VLOOKUP(G356,m2mFormatLUT!$B$2:$D$17,2,FALSE)</f>
        <v>0</v>
      </c>
      <c r="J356" s="99" t="str">
        <f>IF(E356=m2mFormatLUT!$A$2,CONCATENATE(DEC2HEX(I356,1),DEC2HEX(H356,3)),CONCATENATE(DEC2HEX(240,2),DEC2HEX(I356,1),DEC2HEX(H356,5)))</f>
        <v>0162</v>
      </c>
      <c r="K356" s="99">
        <v>0</v>
      </c>
      <c r="L356" s="99">
        <f>IF(I356=6,(LEN(K356)+1)*8,IF(I356=7,(1 + HEX2DEC(MID(K356,3,FIND(",",K356)-3)))*8,IF(I356=14,(LEN(K356)+1)*16,IF(I356=15,(1 + HEX2DEC(MID(K356,3,FIND(",",K356)-3)))*16,VLOOKUP(G356,m2mFormatLUT!$B$2:$D$17,3,FALSE)))))</f>
        <v>1</v>
      </c>
    </row>
    <row r="357" spans="1:14" x14ac:dyDescent="0.55000000000000004">
      <c r="A357" s="99" t="s">
        <v>1043</v>
      </c>
      <c r="B357" s="105" t="s">
        <v>1044</v>
      </c>
      <c r="C357" s="100" t="s">
        <v>265</v>
      </c>
      <c r="D357" s="106" t="s">
        <v>952</v>
      </c>
      <c r="E357" s="101" t="s">
        <v>1152</v>
      </c>
      <c r="F357" s="102">
        <v>0</v>
      </c>
      <c r="G357" s="100" t="s">
        <v>1153</v>
      </c>
      <c r="H357" s="99">
        <v>355</v>
      </c>
      <c r="I357" s="99">
        <f>VLOOKUP(G357,m2mFormatLUT!$B$2:$D$17,2,FALSE)</f>
        <v>0</v>
      </c>
      <c r="J357" s="99" t="str">
        <f>IF(E357=m2mFormatLUT!$A$2,CONCATENATE(DEC2HEX(I357,1),DEC2HEX(H357,3)),CONCATENATE(DEC2HEX(240,2),DEC2HEX(I357,1),DEC2HEX(H357,5)))</f>
        <v>0163</v>
      </c>
      <c r="K357" s="99">
        <v>0</v>
      </c>
      <c r="L357" s="99">
        <f>IF(I357=6,(LEN(K357)+1)*8,IF(I357=7,(1 + HEX2DEC(MID(K357,3,FIND(",",K357)-3)))*8,IF(I357=14,(LEN(K357)+1)*16,IF(I357=15,(1 + HEX2DEC(MID(K357,3,FIND(",",K357)-3)))*16,VLOOKUP(G357,m2mFormatLUT!$B$2:$D$17,3,FALSE)))))</f>
        <v>1</v>
      </c>
    </row>
    <row r="358" spans="1:14" x14ac:dyDescent="0.55000000000000004">
      <c r="A358" s="99" t="s">
        <v>1045</v>
      </c>
      <c r="B358" s="105" t="s">
        <v>1046</v>
      </c>
      <c r="C358" s="100" t="s">
        <v>265</v>
      </c>
      <c r="D358" s="106" t="s">
        <v>952</v>
      </c>
      <c r="E358" s="101" t="s">
        <v>1152</v>
      </c>
      <c r="F358" s="102">
        <v>0</v>
      </c>
      <c r="G358" s="100" t="s">
        <v>1153</v>
      </c>
      <c r="H358" s="99">
        <v>356</v>
      </c>
      <c r="I358" s="99">
        <f>VLOOKUP(G358,m2mFormatLUT!$B$2:$D$17,2,FALSE)</f>
        <v>0</v>
      </c>
      <c r="J358" s="99" t="str">
        <f>IF(E358=m2mFormatLUT!$A$2,CONCATENATE(DEC2HEX(I358,1),DEC2HEX(H358,3)),CONCATENATE(DEC2HEX(240,2),DEC2HEX(I358,1),DEC2HEX(H358,5)))</f>
        <v>0164</v>
      </c>
      <c r="K358" s="99">
        <v>0</v>
      </c>
      <c r="L358" s="99">
        <f>IF(I358=6,(LEN(K358)+1)*8,IF(I358=7,(1 + HEX2DEC(MID(K358,3,FIND(",",K358)-3)))*8,IF(I358=14,(LEN(K358)+1)*16,IF(I358=15,(1 + HEX2DEC(MID(K358,3,FIND(",",K358)-3)))*16,VLOOKUP(G358,m2mFormatLUT!$B$2:$D$17,3,FALSE)))))</f>
        <v>1</v>
      </c>
    </row>
    <row r="359" spans="1:14" x14ac:dyDescent="0.55000000000000004">
      <c r="A359" s="99" t="s">
        <v>1047</v>
      </c>
      <c r="B359" s="105" t="s">
        <v>1048</v>
      </c>
      <c r="C359" s="100" t="s">
        <v>265</v>
      </c>
      <c r="D359" s="106" t="s">
        <v>952</v>
      </c>
      <c r="E359" s="101" t="s">
        <v>1152</v>
      </c>
      <c r="F359" s="102">
        <v>0</v>
      </c>
      <c r="G359" s="100" t="s">
        <v>1153</v>
      </c>
      <c r="H359" s="99">
        <v>357</v>
      </c>
      <c r="I359" s="99">
        <f>VLOOKUP(G359,m2mFormatLUT!$B$2:$D$17,2,FALSE)</f>
        <v>0</v>
      </c>
      <c r="J359" s="99" t="str">
        <f>IF(E359=m2mFormatLUT!$A$2,CONCATENATE(DEC2HEX(I359,1),DEC2HEX(H359,3)),CONCATENATE(DEC2HEX(240,2),DEC2HEX(I359,1),DEC2HEX(H359,5)))</f>
        <v>0165</v>
      </c>
      <c r="K359" s="99">
        <v>0</v>
      </c>
      <c r="L359" s="99">
        <f>IF(I359=6,(LEN(K359)+1)*8,IF(I359=7,(1 + HEX2DEC(MID(K359,3,FIND(",",K359)-3)))*8,IF(I359=14,(LEN(K359)+1)*16,IF(I359=15,(1 + HEX2DEC(MID(K359,3,FIND(",",K359)-3)))*16,VLOOKUP(G359,m2mFormatLUT!$B$2:$D$17,3,FALSE)))))</f>
        <v>1</v>
      </c>
    </row>
    <row r="360" spans="1:14" x14ac:dyDescent="0.55000000000000004">
      <c r="A360" s="99" t="s">
        <v>1049</v>
      </c>
      <c r="B360" s="105" t="s">
        <v>1050</v>
      </c>
      <c r="C360" s="100" t="s">
        <v>265</v>
      </c>
      <c r="D360" s="106" t="s">
        <v>952</v>
      </c>
      <c r="E360" s="101" t="s">
        <v>1152</v>
      </c>
      <c r="F360" s="102">
        <v>0</v>
      </c>
      <c r="G360" s="100" t="s">
        <v>1153</v>
      </c>
      <c r="H360" s="99">
        <v>358</v>
      </c>
      <c r="I360" s="99">
        <f>VLOOKUP(G360,m2mFormatLUT!$B$2:$D$17,2,FALSE)</f>
        <v>0</v>
      </c>
      <c r="J360" s="99" t="str">
        <f>IF(E360=m2mFormatLUT!$A$2,CONCATENATE(DEC2HEX(I360,1),DEC2HEX(H360,3)),CONCATENATE(DEC2HEX(240,2),DEC2HEX(I360,1),DEC2HEX(H360,5)))</f>
        <v>0166</v>
      </c>
      <c r="K360" s="99">
        <v>0</v>
      </c>
      <c r="L360" s="99">
        <f>IF(I360=6,(LEN(K360)+1)*8,IF(I360=7,(1 + HEX2DEC(MID(K360,3,FIND(",",K360)-3)))*8,IF(I360=14,(LEN(K360)+1)*16,IF(I360=15,(1 + HEX2DEC(MID(K360,3,FIND(",",K360)-3)))*16,VLOOKUP(G360,m2mFormatLUT!$B$2:$D$17,3,FALSE)))))</f>
        <v>1</v>
      </c>
    </row>
    <row r="361" spans="1:14" x14ac:dyDescent="0.55000000000000004">
      <c r="A361" s="99" t="s">
        <v>1051</v>
      </c>
      <c r="B361" s="105" t="s">
        <v>1052</v>
      </c>
      <c r="C361" s="100" t="s">
        <v>265</v>
      </c>
      <c r="D361" s="106" t="s">
        <v>952</v>
      </c>
      <c r="E361" s="101" t="s">
        <v>1152</v>
      </c>
      <c r="F361" s="102">
        <v>0</v>
      </c>
      <c r="G361" s="100" t="s">
        <v>1153</v>
      </c>
      <c r="H361" s="99">
        <v>359</v>
      </c>
      <c r="I361" s="99">
        <f>VLOOKUP(G361,m2mFormatLUT!$B$2:$D$17,2,FALSE)</f>
        <v>0</v>
      </c>
      <c r="J361" s="99" t="str">
        <f>IF(E361=m2mFormatLUT!$A$2,CONCATENATE(DEC2HEX(I361,1),DEC2HEX(H361,3)),CONCATENATE(DEC2HEX(240,2),DEC2HEX(I361,1),DEC2HEX(H361,5)))</f>
        <v>0167</v>
      </c>
      <c r="K361" s="99">
        <v>0</v>
      </c>
      <c r="L361" s="99">
        <f>IF(I361=6,(LEN(K361)+1)*8,IF(I361=7,(1 + HEX2DEC(MID(K361,3,FIND(",",K361)-3)))*8,IF(I361=14,(LEN(K361)+1)*16,IF(I361=15,(1 + HEX2DEC(MID(K361,3,FIND(",",K361)-3)))*16,VLOOKUP(G361,m2mFormatLUT!$B$2:$D$17,3,FALSE)))))</f>
        <v>1</v>
      </c>
    </row>
    <row r="362" spans="1:14" x14ac:dyDescent="0.55000000000000004">
      <c r="A362" s="99" t="s">
        <v>1053</v>
      </c>
      <c r="B362" s="105" t="s">
        <v>1054</v>
      </c>
      <c r="C362" s="100" t="s">
        <v>265</v>
      </c>
      <c r="D362" s="106" t="s">
        <v>952</v>
      </c>
      <c r="E362" s="101" t="s">
        <v>1152</v>
      </c>
      <c r="F362" s="102">
        <v>0</v>
      </c>
      <c r="G362" s="100" t="s">
        <v>1153</v>
      </c>
      <c r="H362" s="99">
        <v>360</v>
      </c>
      <c r="I362" s="99">
        <f>VLOOKUP(G362,m2mFormatLUT!$B$2:$D$17,2,FALSE)</f>
        <v>0</v>
      </c>
      <c r="J362" s="99" t="str">
        <f>IF(E362=m2mFormatLUT!$A$2,CONCATENATE(DEC2HEX(I362,1),DEC2HEX(H362,3)),CONCATENATE(DEC2HEX(240,2),DEC2HEX(I362,1),DEC2HEX(H362,5)))</f>
        <v>0168</v>
      </c>
      <c r="K362" s="99">
        <v>0</v>
      </c>
      <c r="L362" s="99">
        <f>IF(I362=6,(LEN(K362)+1)*8,IF(I362=7,(1 + HEX2DEC(MID(K362,3,FIND(",",K362)-3)))*8,IF(I362=14,(LEN(K362)+1)*16,IF(I362=15,(1 + HEX2DEC(MID(K362,3,FIND(",",K362)-3)))*16,VLOOKUP(G362,m2mFormatLUT!$B$2:$D$17,3,FALSE)))))</f>
        <v>1</v>
      </c>
    </row>
    <row r="363" spans="1:14" x14ac:dyDescent="0.55000000000000004">
      <c r="A363" s="99" t="s">
        <v>1055</v>
      </c>
      <c r="B363" s="105" t="s">
        <v>1056</v>
      </c>
      <c r="C363" s="100" t="s">
        <v>265</v>
      </c>
      <c r="D363" s="106" t="s">
        <v>952</v>
      </c>
      <c r="E363" s="101" t="s">
        <v>1152</v>
      </c>
      <c r="F363" s="102">
        <v>0</v>
      </c>
      <c r="G363" s="100" t="s">
        <v>1153</v>
      </c>
      <c r="H363" s="99">
        <v>361</v>
      </c>
      <c r="I363" s="99">
        <f>VLOOKUP(G363,m2mFormatLUT!$B$2:$D$17,2,FALSE)</f>
        <v>0</v>
      </c>
      <c r="J363" s="99" t="str">
        <f>IF(E363=m2mFormatLUT!$A$2,CONCATENATE(DEC2HEX(I363,1),DEC2HEX(H363,3)),CONCATENATE(DEC2HEX(240,2),DEC2HEX(I363,1),DEC2HEX(H363,5)))</f>
        <v>0169</v>
      </c>
      <c r="K363" s="99">
        <v>0</v>
      </c>
      <c r="L363" s="99">
        <f>IF(I363=6,(LEN(K363)+1)*8,IF(I363=7,(1 + HEX2DEC(MID(K363,3,FIND(",",K363)-3)))*8,IF(I363=14,(LEN(K363)+1)*16,IF(I363=15,(1 + HEX2DEC(MID(K363,3,FIND(",",K363)-3)))*16,VLOOKUP(G363,m2mFormatLUT!$B$2:$D$17,3,FALSE)))))</f>
        <v>1</v>
      </c>
    </row>
    <row r="364" spans="1:14" x14ac:dyDescent="0.55000000000000004">
      <c r="A364" s="99" t="s">
        <v>1057</v>
      </c>
      <c r="B364" s="105" t="s">
        <v>1058</v>
      </c>
      <c r="C364" s="100" t="s">
        <v>265</v>
      </c>
      <c r="D364" s="106" t="s">
        <v>952</v>
      </c>
      <c r="E364" s="101" t="s">
        <v>1152</v>
      </c>
      <c r="F364" s="102">
        <v>0</v>
      </c>
      <c r="G364" s="100" t="s">
        <v>1153</v>
      </c>
      <c r="H364" s="99">
        <v>362</v>
      </c>
      <c r="I364" s="99">
        <f>VLOOKUP(G364,m2mFormatLUT!$B$2:$D$17,2,FALSE)</f>
        <v>0</v>
      </c>
      <c r="J364" s="99" t="str">
        <f>IF(E364=m2mFormatLUT!$A$2,CONCATENATE(DEC2HEX(I364,1),DEC2HEX(H364,3)),CONCATENATE(DEC2HEX(240,2),DEC2HEX(I364,1),DEC2HEX(H364,5)))</f>
        <v>016A</v>
      </c>
      <c r="K364" s="99">
        <v>0</v>
      </c>
      <c r="L364" s="99">
        <f>IF(I364=6,(LEN(K364)+1)*8,IF(I364=7,(1 + HEX2DEC(MID(K364,3,FIND(",",K364)-3)))*8,IF(I364=14,(LEN(K364)+1)*16,IF(I364=15,(1 + HEX2DEC(MID(K364,3,FIND(",",K364)-3)))*16,VLOOKUP(G364,m2mFormatLUT!$B$2:$D$17,3,FALSE)))))</f>
        <v>1</v>
      </c>
    </row>
    <row r="365" spans="1:14" x14ac:dyDescent="0.55000000000000004">
      <c r="A365" s="99" t="s">
        <v>1061</v>
      </c>
      <c r="B365" s="105" t="s">
        <v>1062</v>
      </c>
      <c r="C365" s="100" t="s">
        <v>265</v>
      </c>
      <c r="D365" s="106" t="s">
        <v>1060</v>
      </c>
      <c r="E365" s="101" t="s">
        <v>1152</v>
      </c>
      <c r="F365" s="102">
        <v>0</v>
      </c>
      <c r="G365" s="100" t="s">
        <v>1153</v>
      </c>
      <c r="H365" s="99">
        <v>363</v>
      </c>
      <c r="I365" s="99">
        <f>VLOOKUP(G365,m2mFormatLUT!$B$2:$D$17,2,FALSE)</f>
        <v>0</v>
      </c>
      <c r="J365" s="99" t="str">
        <f>IF(E365=m2mFormatLUT!$A$2,CONCATENATE(DEC2HEX(I365,1),DEC2HEX(H365,3)),CONCATENATE(DEC2HEX(240,2),DEC2HEX(I365,1),DEC2HEX(H365,5)))</f>
        <v>016B</v>
      </c>
      <c r="K365" s="99">
        <v>0</v>
      </c>
      <c r="L365" s="99">
        <f>IF(I365=6,(LEN(K365)+1)*8,IF(I365=7,(1 + HEX2DEC(MID(K365,3,FIND(",",K365)-3)))*8,IF(I365=14,(LEN(K365)+1)*16,IF(I365=15,(1 + HEX2DEC(MID(K365,3,FIND(",",K365)-3)))*16,VLOOKUP(G365,m2mFormatLUT!$B$2:$D$17,3,FALSE)))))</f>
        <v>1</v>
      </c>
    </row>
    <row r="366" spans="1:14" x14ac:dyDescent="0.55000000000000004">
      <c r="A366" s="108" t="s">
        <v>1063</v>
      </c>
      <c r="B366" s="105" t="s">
        <v>1064</v>
      </c>
      <c r="C366" s="100" t="s">
        <v>265</v>
      </c>
      <c r="D366" s="106" t="s">
        <v>1060</v>
      </c>
      <c r="E366" s="101" t="s">
        <v>1152</v>
      </c>
      <c r="F366" s="102">
        <v>0</v>
      </c>
      <c r="G366" s="100" t="s">
        <v>1153</v>
      </c>
      <c r="H366" s="99">
        <v>364</v>
      </c>
      <c r="I366" s="99">
        <f>VLOOKUP(G366,m2mFormatLUT!$B$2:$D$17,2,FALSE)</f>
        <v>0</v>
      </c>
      <c r="J366" s="99" t="str">
        <f>IF(E366=m2mFormatLUT!$A$2,CONCATENATE(DEC2HEX(I366,1),DEC2HEX(H366,3)),CONCATENATE(DEC2HEX(240,2),DEC2HEX(I366,1),DEC2HEX(H366,5)))</f>
        <v>016C</v>
      </c>
      <c r="K366" s="99">
        <v>0</v>
      </c>
      <c r="L366" s="99">
        <f>IF(I366=6,(LEN(K366)+1)*8,IF(I366=7,(1 + HEX2DEC(MID(K366,3,FIND(",",K366)-3)))*8,IF(I366=14,(LEN(K366)+1)*16,IF(I366=15,(1 + HEX2DEC(MID(K366,3,FIND(",",K366)-3)))*16,VLOOKUP(G366,m2mFormatLUT!$B$2:$D$17,3,FALSE)))))</f>
        <v>1</v>
      </c>
      <c r="N366" s="99" t="s">
        <v>1155</v>
      </c>
    </row>
    <row r="367" spans="1:14" x14ac:dyDescent="0.55000000000000004">
      <c r="A367" s="108" t="s">
        <v>1065</v>
      </c>
      <c r="B367" s="105" t="s">
        <v>1066</v>
      </c>
      <c r="C367" s="100" t="s">
        <v>265</v>
      </c>
      <c r="D367" s="106" t="s">
        <v>1060</v>
      </c>
      <c r="E367" s="101" t="s">
        <v>1152</v>
      </c>
      <c r="F367" s="102">
        <v>0</v>
      </c>
      <c r="G367" s="100" t="s">
        <v>1153</v>
      </c>
      <c r="H367" s="99">
        <v>365</v>
      </c>
      <c r="I367" s="99">
        <f>VLOOKUP(G367,m2mFormatLUT!$B$2:$D$17,2,FALSE)</f>
        <v>0</v>
      </c>
      <c r="J367" s="99" t="str">
        <f>IF(E367=m2mFormatLUT!$A$2,CONCATENATE(DEC2HEX(I367,1),DEC2HEX(H367,3)),CONCATENATE(DEC2HEX(240,2),DEC2HEX(I367,1),DEC2HEX(H367,5)))</f>
        <v>016D</v>
      </c>
      <c r="K367" s="99">
        <v>0</v>
      </c>
      <c r="L367" s="99">
        <f>IF(I367=6,(LEN(K367)+1)*8,IF(I367=7,(1 + HEX2DEC(MID(K367,3,FIND(",",K367)-3)))*8,IF(I367=14,(LEN(K367)+1)*16,IF(I367=15,(1 + HEX2DEC(MID(K367,3,FIND(",",K367)-3)))*16,VLOOKUP(G367,m2mFormatLUT!$B$2:$D$17,3,FALSE)))))</f>
        <v>1</v>
      </c>
    </row>
    <row r="368" spans="1:14" x14ac:dyDescent="0.55000000000000004">
      <c r="A368" s="99" t="s">
        <v>1108</v>
      </c>
      <c r="B368" s="105" t="s">
        <v>1109</v>
      </c>
      <c r="C368" s="100" t="s">
        <v>265</v>
      </c>
      <c r="D368" s="106" t="s">
        <v>625</v>
      </c>
      <c r="E368" s="101" t="s">
        <v>1152</v>
      </c>
      <c r="F368" s="102">
        <v>0</v>
      </c>
      <c r="G368" s="100" t="s">
        <v>1153</v>
      </c>
      <c r="H368" s="99">
        <v>366</v>
      </c>
      <c r="I368" s="99">
        <f>VLOOKUP(G368,m2mFormatLUT!$B$2:$D$17,2,FALSE)</f>
        <v>0</v>
      </c>
      <c r="J368" s="99" t="str">
        <f>IF(E368=m2mFormatLUT!$A$2,CONCATENATE(DEC2HEX(I368,1),DEC2HEX(H368,3)),CONCATENATE(DEC2HEX(240,2),DEC2HEX(I368,1),DEC2HEX(H368,5)))</f>
        <v>016E</v>
      </c>
      <c r="K368" s="99">
        <v>0</v>
      </c>
      <c r="L368" s="99">
        <f>IF(I368=6,(LEN(K368)+1)*8,IF(I368=7,(1 + HEX2DEC(MID(K368,3,FIND(",",K368)-3)))*8,IF(I368=14,(LEN(K368)+1)*16,IF(I368=15,(1 + HEX2DEC(MID(K368,3,FIND(",",K368)-3)))*16,VLOOKUP(G368,m2mFormatLUT!$B$2:$D$17,3,FALSE)))))</f>
        <v>1</v>
      </c>
    </row>
    <row r="369" spans="1:14" x14ac:dyDescent="0.55000000000000004">
      <c r="A369" s="99" t="s">
        <v>1115</v>
      </c>
      <c r="B369" s="105" t="s">
        <v>1116</v>
      </c>
      <c r="C369" s="100" t="s">
        <v>265</v>
      </c>
      <c r="D369" s="106" t="s">
        <v>1114</v>
      </c>
      <c r="E369" s="101" t="s">
        <v>1152</v>
      </c>
      <c r="F369" s="102">
        <v>0</v>
      </c>
      <c r="G369" s="100" t="s">
        <v>1153</v>
      </c>
      <c r="H369" s="99">
        <v>367</v>
      </c>
      <c r="I369" s="99">
        <f>VLOOKUP(G369,m2mFormatLUT!$B$2:$D$17,2,FALSE)</f>
        <v>0</v>
      </c>
      <c r="J369" s="99" t="str">
        <f>IF(E369=m2mFormatLUT!$A$2,CONCATENATE(DEC2HEX(I369,1),DEC2HEX(H369,3)),CONCATENATE(DEC2HEX(240,2),DEC2HEX(I369,1),DEC2HEX(H369,5)))</f>
        <v>016F</v>
      </c>
      <c r="K369" s="99">
        <v>0</v>
      </c>
      <c r="L369" s="99">
        <f>IF(I369=6,(LEN(K369)+1)*8,IF(I369=7,(1 + HEX2DEC(MID(K369,3,FIND(",",K369)-3)))*8,IF(I369=14,(LEN(K369)+1)*16,IF(I369=15,(1 + HEX2DEC(MID(K369,3,FIND(",",K369)-3)))*16,VLOOKUP(G369,m2mFormatLUT!$B$2:$D$17,3,FALSE)))))</f>
        <v>1</v>
      </c>
    </row>
    <row r="370" spans="1:14" x14ac:dyDescent="0.55000000000000004">
      <c r="A370" s="99" t="s">
        <v>1119</v>
      </c>
      <c r="B370" s="105" t="s">
        <v>1120</v>
      </c>
      <c r="C370" s="100" t="s">
        <v>265</v>
      </c>
      <c r="D370" s="106" t="s">
        <v>1114</v>
      </c>
      <c r="E370" s="101" t="s">
        <v>1152</v>
      </c>
      <c r="F370" s="102">
        <v>0</v>
      </c>
      <c r="G370" s="100" t="s">
        <v>1153</v>
      </c>
      <c r="H370" s="99">
        <v>368</v>
      </c>
      <c r="I370" s="99">
        <f>VLOOKUP(G370,m2mFormatLUT!$B$2:$D$17,2,FALSE)</f>
        <v>0</v>
      </c>
      <c r="J370" s="99" t="str">
        <f>IF(E370=m2mFormatLUT!$A$2,CONCATENATE(DEC2HEX(I370,1),DEC2HEX(H370,3)),CONCATENATE(DEC2HEX(240,2),DEC2HEX(I370,1),DEC2HEX(H370,5)))</f>
        <v>0170</v>
      </c>
      <c r="K370" s="99">
        <v>0</v>
      </c>
      <c r="L370" s="99">
        <f>IF(I370=6,(LEN(K370)+1)*8,IF(I370=7,(1 + HEX2DEC(MID(K370,3,FIND(",",K370)-3)))*8,IF(I370=14,(LEN(K370)+1)*16,IF(I370=15,(1 + HEX2DEC(MID(K370,3,FIND(",",K370)-3)))*16,VLOOKUP(G370,m2mFormatLUT!$B$2:$D$17,3,FALSE)))))</f>
        <v>1</v>
      </c>
    </row>
    <row r="371" spans="1:14" x14ac:dyDescent="0.55000000000000004">
      <c r="A371" s="99" t="s">
        <v>1121</v>
      </c>
      <c r="B371" s="105" t="s">
        <v>1122</v>
      </c>
      <c r="C371" s="100" t="s">
        <v>265</v>
      </c>
      <c r="D371" s="106" t="s">
        <v>1114</v>
      </c>
      <c r="E371" s="101" t="s">
        <v>1152</v>
      </c>
      <c r="F371" s="102">
        <v>0</v>
      </c>
      <c r="G371" s="100" t="s">
        <v>1153</v>
      </c>
      <c r="H371" s="99">
        <v>369</v>
      </c>
      <c r="I371" s="99">
        <f>VLOOKUP(G371,m2mFormatLUT!$B$2:$D$17,2,FALSE)</f>
        <v>0</v>
      </c>
      <c r="J371" s="99" t="str">
        <f>IF(E371=m2mFormatLUT!$A$2,CONCATENATE(DEC2HEX(I371,1),DEC2HEX(H371,3)),CONCATENATE(DEC2HEX(240,2),DEC2HEX(I371,1),DEC2HEX(H371,5)))</f>
        <v>0171</v>
      </c>
      <c r="K371" s="99">
        <v>0</v>
      </c>
      <c r="L371" s="99">
        <f>IF(I371=6,(LEN(K371)+1)*8,IF(I371=7,(1 + HEX2DEC(MID(K371,3,FIND(",",K371)-3)))*8,IF(I371=14,(LEN(K371)+1)*16,IF(I371=15,(1 + HEX2DEC(MID(K371,3,FIND(",",K371)-3)))*16,VLOOKUP(G371,m2mFormatLUT!$B$2:$D$17,3,FALSE)))))</f>
        <v>1</v>
      </c>
    </row>
    <row r="372" spans="1:14" x14ac:dyDescent="0.55000000000000004">
      <c r="A372" s="99" t="s">
        <v>1123</v>
      </c>
      <c r="B372" s="105" t="s">
        <v>1124</v>
      </c>
      <c r="C372" s="100" t="s">
        <v>265</v>
      </c>
      <c r="D372" s="106" t="s">
        <v>1114</v>
      </c>
      <c r="E372" s="101" t="s">
        <v>1152</v>
      </c>
      <c r="F372" s="102">
        <v>0</v>
      </c>
      <c r="G372" s="100" t="s">
        <v>1153</v>
      </c>
      <c r="H372" s="99">
        <v>370</v>
      </c>
      <c r="I372" s="99">
        <f>VLOOKUP(G372,m2mFormatLUT!$B$2:$D$17,2,FALSE)</f>
        <v>0</v>
      </c>
      <c r="J372" s="99" t="str">
        <f>IF(E372=m2mFormatLUT!$A$2,CONCATENATE(DEC2HEX(I372,1),DEC2HEX(H372,3)),CONCATENATE(DEC2HEX(240,2),DEC2HEX(I372,1),DEC2HEX(H372,5)))</f>
        <v>0172</v>
      </c>
      <c r="K372" s="99">
        <v>0</v>
      </c>
      <c r="L372" s="99">
        <f>IF(I372=6,(LEN(K372)+1)*8,IF(I372=7,(1 + HEX2DEC(MID(K372,3,FIND(",",K372)-3)))*8,IF(I372=14,(LEN(K372)+1)*16,IF(I372=15,(1 + HEX2DEC(MID(K372,3,FIND(",",K372)-3)))*16,VLOOKUP(G372,m2mFormatLUT!$B$2:$D$17,3,FALSE)))))</f>
        <v>1</v>
      </c>
    </row>
    <row r="373" spans="1:14" x14ac:dyDescent="0.55000000000000004">
      <c r="A373" s="99" t="s">
        <v>1133</v>
      </c>
      <c r="B373" s="105" t="s">
        <v>1134</v>
      </c>
      <c r="C373" s="100" t="s">
        <v>265</v>
      </c>
      <c r="D373" s="106" t="s">
        <v>1132</v>
      </c>
      <c r="E373" s="101" t="s">
        <v>1152</v>
      </c>
      <c r="F373" s="102">
        <v>0</v>
      </c>
      <c r="G373" s="100" t="s">
        <v>1153</v>
      </c>
      <c r="H373" s="99">
        <v>371</v>
      </c>
      <c r="I373" s="99">
        <f>VLOOKUP(G373,m2mFormatLUT!$B$2:$D$17,2,FALSE)</f>
        <v>0</v>
      </c>
      <c r="J373" s="99" t="str">
        <f>IF(E373=m2mFormatLUT!$A$2,CONCATENATE(DEC2HEX(I373,1),DEC2HEX(H373,3)),CONCATENATE(DEC2HEX(240,2),DEC2HEX(I373,1),DEC2HEX(H373,5)))</f>
        <v>0173</v>
      </c>
      <c r="K373" s="99">
        <v>0</v>
      </c>
      <c r="L373" s="99">
        <f>IF(I373=6,(LEN(K373)+1)*8,IF(I373=7,(1 + HEX2DEC(MID(K373,3,FIND(",",K373)-3)))*8,IF(I373=14,(LEN(K373)+1)*16,IF(I373=15,(1 + HEX2DEC(MID(K373,3,FIND(",",K373)-3)))*16,VLOOKUP(G373,m2mFormatLUT!$B$2:$D$17,3,FALSE)))))</f>
        <v>1</v>
      </c>
    </row>
    <row r="374" spans="1:14" x14ac:dyDescent="0.55000000000000004">
      <c r="A374" s="99" t="s">
        <v>1135</v>
      </c>
      <c r="B374" s="105" t="s">
        <v>1135</v>
      </c>
      <c r="C374" s="100" t="s">
        <v>265</v>
      </c>
      <c r="D374" s="106" t="s">
        <v>1132</v>
      </c>
      <c r="E374" s="101" t="s">
        <v>1152</v>
      </c>
      <c r="F374" s="102">
        <v>0</v>
      </c>
      <c r="G374" s="100" t="s">
        <v>1153</v>
      </c>
      <c r="H374" s="99">
        <v>372</v>
      </c>
      <c r="I374" s="99">
        <f>VLOOKUP(G374,m2mFormatLUT!$B$2:$D$17,2,FALSE)</f>
        <v>0</v>
      </c>
      <c r="J374" s="99" t="str">
        <f>IF(E374=m2mFormatLUT!$A$2,CONCATENATE(DEC2HEX(I374,1),DEC2HEX(H374,3)),CONCATENATE(DEC2HEX(240,2),DEC2HEX(I374,1),DEC2HEX(H374,5)))</f>
        <v>0174</v>
      </c>
      <c r="K374" s="99">
        <v>0</v>
      </c>
      <c r="L374" s="99">
        <f>IF(I374=6,(LEN(K374)+1)*8,IF(I374=7,(1 + HEX2DEC(MID(K374,3,FIND(",",K374)-3)))*8,IF(I374=14,(LEN(K374)+1)*16,IF(I374=15,(1 + HEX2DEC(MID(K374,3,FIND(",",K374)-3)))*16,VLOOKUP(G374,m2mFormatLUT!$B$2:$D$17,3,FALSE)))))</f>
        <v>1</v>
      </c>
    </row>
    <row r="375" spans="1:14" x14ac:dyDescent="0.55000000000000004">
      <c r="A375" s="99" t="s">
        <v>1136</v>
      </c>
      <c r="B375" s="105" t="s">
        <v>1137</v>
      </c>
      <c r="C375" s="100" t="s">
        <v>265</v>
      </c>
      <c r="D375" s="106" t="s">
        <v>1132</v>
      </c>
      <c r="E375" s="101" t="s">
        <v>1152</v>
      </c>
      <c r="F375" s="102">
        <v>0</v>
      </c>
      <c r="G375" s="100" t="s">
        <v>1153</v>
      </c>
      <c r="H375" s="99">
        <v>373</v>
      </c>
      <c r="I375" s="99">
        <f>VLOOKUP(G375,m2mFormatLUT!$B$2:$D$17,2,FALSE)</f>
        <v>0</v>
      </c>
      <c r="J375" s="99" t="str">
        <f>IF(E375=m2mFormatLUT!$A$2,CONCATENATE(DEC2HEX(I375,1),DEC2HEX(H375,3)),CONCATENATE(DEC2HEX(240,2),DEC2HEX(I375,1),DEC2HEX(H375,5)))</f>
        <v>0175</v>
      </c>
      <c r="K375" s="99">
        <v>0</v>
      </c>
      <c r="L375" s="99">
        <f>IF(I375=6,(LEN(K375)+1)*8,IF(I375=7,(1 + HEX2DEC(MID(K375,3,FIND(",",K375)-3)))*8,IF(I375=14,(LEN(K375)+1)*16,IF(I375=15,(1 + HEX2DEC(MID(K375,3,FIND(",",K375)-3)))*16,VLOOKUP(G375,m2mFormatLUT!$B$2:$D$17,3,FALSE)))))</f>
        <v>1</v>
      </c>
    </row>
    <row r="376" spans="1:14" x14ac:dyDescent="0.55000000000000004">
      <c r="A376" s="99" t="s">
        <v>1138</v>
      </c>
      <c r="B376" s="105" t="s">
        <v>1139</v>
      </c>
      <c r="C376" s="100" t="s">
        <v>265</v>
      </c>
      <c r="D376" s="106" t="s">
        <v>1132</v>
      </c>
      <c r="E376" s="101" t="s">
        <v>1152</v>
      </c>
      <c r="F376" s="102">
        <v>0</v>
      </c>
      <c r="G376" s="100" t="s">
        <v>1153</v>
      </c>
      <c r="H376" s="99">
        <v>374</v>
      </c>
      <c r="I376" s="99">
        <f>VLOOKUP(G376,m2mFormatLUT!$B$2:$D$17,2,FALSE)</f>
        <v>0</v>
      </c>
      <c r="J376" s="99" t="str">
        <f>IF(E376=m2mFormatLUT!$A$2,CONCATENATE(DEC2HEX(I376,1),DEC2HEX(H376,3)),CONCATENATE(DEC2HEX(240,2),DEC2HEX(I376,1),DEC2HEX(H376,5)))</f>
        <v>0176</v>
      </c>
      <c r="K376" s="99">
        <v>0</v>
      </c>
      <c r="L376" s="99">
        <f>IF(I376=6,(LEN(K376)+1)*8,IF(I376=7,(1 + HEX2DEC(MID(K376,3,FIND(",",K376)-3)))*8,IF(I376=14,(LEN(K376)+1)*16,IF(I376=15,(1 + HEX2DEC(MID(K376,3,FIND(",",K376)-3)))*16,VLOOKUP(G376,m2mFormatLUT!$B$2:$D$17,3,FALSE)))))</f>
        <v>1</v>
      </c>
    </row>
    <row r="377" spans="1:14" x14ac:dyDescent="0.55000000000000004">
      <c r="A377" s="99" t="s">
        <v>1135</v>
      </c>
      <c r="B377" s="105" t="s">
        <v>1135</v>
      </c>
      <c r="C377" s="100" t="s">
        <v>265</v>
      </c>
      <c r="D377" s="106" t="s">
        <v>1132</v>
      </c>
      <c r="E377" s="101" t="s">
        <v>1152</v>
      </c>
      <c r="F377" s="102">
        <v>0</v>
      </c>
      <c r="G377" s="100" t="s">
        <v>1153</v>
      </c>
      <c r="H377" s="99">
        <v>375</v>
      </c>
      <c r="I377" s="99">
        <f>VLOOKUP(G377,m2mFormatLUT!$B$2:$D$17,2,FALSE)</f>
        <v>0</v>
      </c>
      <c r="J377" s="99" t="str">
        <f>IF(E377=m2mFormatLUT!$A$2,CONCATENATE(DEC2HEX(I377,1),DEC2HEX(H377,3)),CONCATENATE(DEC2HEX(240,2),DEC2HEX(I377,1),DEC2HEX(H377,5)))</f>
        <v>0177</v>
      </c>
      <c r="K377" s="99">
        <v>0</v>
      </c>
      <c r="L377" s="99">
        <f>IF(I377=6,(LEN(K377)+1)*8,IF(I377=7,(1 + HEX2DEC(MID(K377,3,FIND(",",K377)-3)))*8,IF(I377=14,(LEN(K377)+1)*16,IF(I377=15,(1 + HEX2DEC(MID(K377,3,FIND(",",K377)-3)))*16,VLOOKUP(G377,m2mFormatLUT!$B$2:$D$17,3,FALSE)))))</f>
        <v>1</v>
      </c>
    </row>
    <row r="378" spans="1:14" x14ac:dyDescent="0.55000000000000004">
      <c r="A378" s="99" t="s">
        <v>1160</v>
      </c>
      <c r="B378" s="105" t="s">
        <v>1140</v>
      </c>
      <c r="C378" s="100" t="s">
        <v>265</v>
      </c>
      <c r="D378" s="106" t="s">
        <v>1132</v>
      </c>
      <c r="E378" s="101" t="s">
        <v>1152</v>
      </c>
      <c r="F378" s="102">
        <v>0</v>
      </c>
      <c r="G378" s="100" t="s">
        <v>1153</v>
      </c>
      <c r="H378" s="99">
        <v>376</v>
      </c>
      <c r="I378" s="99">
        <f>VLOOKUP(G378,m2mFormatLUT!$B$2:$D$17,2,FALSE)</f>
        <v>0</v>
      </c>
      <c r="J378" s="99" t="str">
        <f>IF(E378=m2mFormatLUT!$A$2,CONCATENATE(DEC2HEX(I378,1),DEC2HEX(H378,3)),CONCATENATE(DEC2HEX(240,2),DEC2HEX(I378,1),DEC2HEX(H378,5)))</f>
        <v>0178</v>
      </c>
      <c r="K378" s="99">
        <v>0</v>
      </c>
      <c r="L378" s="99">
        <f>IF(I378=6,(LEN(K378)+1)*8,IF(I378=7,(1 + HEX2DEC(MID(K378,3,FIND(",",K378)-3)))*8,IF(I378=14,(LEN(K378)+1)*16,IF(I378=15,(1 + HEX2DEC(MID(K378,3,FIND(",",K378)-3)))*16,VLOOKUP(G378,m2mFormatLUT!$B$2:$D$17,3,FALSE)))))</f>
        <v>1</v>
      </c>
    </row>
    <row r="379" spans="1:14" x14ac:dyDescent="0.55000000000000004">
      <c r="A379" s="107" t="s">
        <v>295</v>
      </c>
      <c r="B379" s="100" t="s">
        <v>86</v>
      </c>
      <c r="C379" s="100" t="s">
        <v>265</v>
      </c>
      <c r="D379" s="101" t="s">
        <v>84</v>
      </c>
      <c r="E379" s="101" t="s">
        <v>1152</v>
      </c>
      <c r="F379" s="102">
        <v>0</v>
      </c>
      <c r="G379" s="100" t="s">
        <v>1161</v>
      </c>
      <c r="H379" s="99">
        <v>0</v>
      </c>
      <c r="I379" s="99">
        <f>VLOOKUP(G379,m2mFormatLUT!$B$2:$D$17,2,FALSE)</f>
        <v>1</v>
      </c>
      <c r="J379" s="99" t="str">
        <f>IF(E379=m2mFormatLUT!$A$2,CONCATENATE(DEC2HEX(I379,1),DEC2HEX(H379,3)),CONCATENATE(DEC2HEX(240,2),DEC2HEX(I379,1),DEC2HEX(H379,5)))</f>
        <v>1000</v>
      </c>
      <c r="K379" s="99">
        <v>0</v>
      </c>
      <c r="L379" s="99">
        <f>IF(I379=6,(LEN(K379)+1)*8,IF(I379=7,(1 + HEX2DEC(MID(K379,3,FIND(",",K379)-3)))*8,IF(I379=14,(LEN(K379)+1)*16,IF(I379=15,(1 + HEX2DEC(MID(K379,3,FIND(",",K379)-3)))*16,VLOOKUP(G379,m2mFormatLUT!$B$2:$D$17,3,FALSE)))))</f>
        <v>8</v>
      </c>
      <c r="N379" s="99" t="s">
        <v>1162</v>
      </c>
    </row>
    <row r="380" spans="1:14" x14ac:dyDescent="0.55000000000000004">
      <c r="A380" s="107" t="s">
        <v>296</v>
      </c>
      <c r="B380" s="100" t="s">
        <v>297</v>
      </c>
      <c r="C380" s="100" t="s">
        <v>265</v>
      </c>
      <c r="D380" s="101" t="s">
        <v>84</v>
      </c>
      <c r="E380" s="101" t="s">
        <v>1152</v>
      </c>
      <c r="F380" s="102">
        <v>0</v>
      </c>
      <c r="G380" s="100" t="s">
        <v>1161</v>
      </c>
      <c r="H380" s="99">
        <v>1</v>
      </c>
      <c r="I380" s="99">
        <f>VLOOKUP(G380,m2mFormatLUT!$B$2:$D$17,2,FALSE)</f>
        <v>1</v>
      </c>
      <c r="J380" s="99" t="str">
        <f>IF(E380=m2mFormatLUT!$A$2,CONCATENATE(DEC2HEX(I380,1),DEC2HEX(H380,3)),CONCATENATE(DEC2HEX(240,2),DEC2HEX(I380,1),DEC2HEX(H380,5)))</f>
        <v>1001</v>
      </c>
      <c r="K380" s="99">
        <v>0</v>
      </c>
      <c r="L380" s="99">
        <f>IF(I380=6,(LEN(K380)+1)*8,IF(I380=7,(1 + HEX2DEC(MID(K380,3,FIND(",",K380)-3)))*8,IF(I380=14,(LEN(K380)+1)*16,IF(I380=15,(1 + HEX2DEC(MID(K380,3,FIND(",",K380)-3)))*16,VLOOKUP(G380,m2mFormatLUT!$B$2:$D$17,3,FALSE)))))</f>
        <v>8</v>
      </c>
      <c r="N380" s="99" t="s">
        <v>1162</v>
      </c>
    </row>
    <row r="381" spans="1:14" x14ac:dyDescent="0.55000000000000004">
      <c r="A381" s="107" t="s">
        <v>298</v>
      </c>
      <c r="B381" s="100" t="s">
        <v>299</v>
      </c>
      <c r="C381" s="100" t="s">
        <v>265</v>
      </c>
      <c r="D381" s="101" t="s">
        <v>84</v>
      </c>
      <c r="E381" s="101" t="s">
        <v>1152</v>
      </c>
      <c r="F381" s="102">
        <v>0</v>
      </c>
      <c r="G381" s="100" t="s">
        <v>1161</v>
      </c>
      <c r="H381" s="99">
        <v>2</v>
      </c>
      <c r="I381" s="99">
        <f>VLOOKUP(G381,m2mFormatLUT!$B$2:$D$17,2,FALSE)</f>
        <v>1</v>
      </c>
      <c r="J381" s="99" t="str">
        <f>IF(E381=m2mFormatLUT!$A$2,CONCATENATE(DEC2HEX(I381,1),DEC2HEX(H381,3)),CONCATENATE(DEC2HEX(240,2),DEC2HEX(I381,1),DEC2HEX(H381,5)))</f>
        <v>1002</v>
      </c>
      <c r="K381" s="99">
        <v>0</v>
      </c>
      <c r="L381" s="99">
        <f>IF(I381=6,(LEN(K381)+1)*8,IF(I381=7,(1 + HEX2DEC(MID(K381,3,FIND(",",K381)-3)))*8,IF(I381=14,(LEN(K381)+1)*16,IF(I381=15,(1 + HEX2DEC(MID(K381,3,FIND(",",K381)-3)))*16,VLOOKUP(G381,m2mFormatLUT!$B$2:$D$17,3,FALSE)))))</f>
        <v>8</v>
      </c>
      <c r="N381" s="99" t="s">
        <v>1162</v>
      </c>
    </row>
    <row r="382" spans="1:14" x14ac:dyDescent="0.55000000000000004">
      <c r="A382" s="107" t="s">
        <v>318</v>
      </c>
      <c r="B382" s="100" t="s">
        <v>319</v>
      </c>
      <c r="C382" s="100" t="s">
        <v>265</v>
      </c>
      <c r="D382" s="101" t="s">
        <v>84</v>
      </c>
      <c r="E382" s="101" t="s">
        <v>1152</v>
      </c>
      <c r="F382" s="102">
        <v>0</v>
      </c>
      <c r="G382" s="100" t="s">
        <v>1161</v>
      </c>
      <c r="H382" s="99">
        <v>3</v>
      </c>
      <c r="I382" s="99">
        <f>VLOOKUP(G382,m2mFormatLUT!$B$2:$D$17,2,FALSE)</f>
        <v>1</v>
      </c>
      <c r="J382" s="99" t="str">
        <f>IF(E382=m2mFormatLUT!$A$2,CONCATENATE(DEC2HEX(I382,1),DEC2HEX(H382,3)),CONCATENATE(DEC2HEX(240,2),DEC2HEX(I382,1),DEC2HEX(H382,5)))</f>
        <v>1003</v>
      </c>
      <c r="K382" s="99">
        <v>0</v>
      </c>
      <c r="L382" s="99">
        <f>IF(I382=6,(LEN(K382)+1)*8,IF(I382=7,(1 + HEX2DEC(MID(K382,3,FIND(",",K382)-3)))*8,IF(I382=14,(LEN(K382)+1)*16,IF(I382=15,(1 + HEX2DEC(MID(K382,3,FIND(",",K382)-3)))*16,VLOOKUP(G382,m2mFormatLUT!$B$2:$D$17,3,FALSE)))))</f>
        <v>8</v>
      </c>
      <c r="N382" s="99" t="s">
        <v>1162</v>
      </c>
    </row>
    <row r="383" spans="1:14" x14ac:dyDescent="0.55000000000000004">
      <c r="A383" s="107" t="s">
        <v>330</v>
      </c>
      <c r="B383" s="100" t="s">
        <v>331</v>
      </c>
      <c r="C383" s="100" t="s">
        <v>265</v>
      </c>
      <c r="D383" s="101" t="s">
        <v>84</v>
      </c>
      <c r="E383" s="101" t="s">
        <v>1152</v>
      </c>
      <c r="F383" s="102">
        <v>0</v>
      </c>
      <c r="G383" s="100" t="s">
        <v>1161</v>
      </c>
      <c r="H383" s="99">
        <v>4</v>
      </c>
      <c r="I383" s="99">
        <f>VLOOKUP(G383,m2mFormatLUT!$B$2:$D$17,2,FALSE)</f>
        <v>1</v>
      </c>
      <c r="J383" s="99" t="str">
        <f>IF(E383=m2mFormatLUT!$A$2,CONCATENATE(DEC2HEX(I383,1),DEC2HEX(H383,3)),CONCATENATE(DEC2HEX(240,2),DEC2HEX(I383,1),DEC2HEX(H383,5)))</f>
        <v>1004</v>
      </c>
      <c r="K383" s="99">
        <v>0</v>
      </c>
      <c r="L383" s="99">
        <f>IF(I383=6,(LEN(K383)+1)*8,IF(I383=7,(1 + HEX2DEC(MID(K383,3,FIND(",",K383)-3)))*8,IF(I383=14,(LEN(K383)+1)*16,IF(I383=15,(1 + HEX2DEC(MID(K383,3,FIND(",",K383)-3)))*16,VLOOKUP(G383,m2mFormatLUT!$B$2:$D$17,3,FALSE)))))</f>
        <v>8</v>
      </c>
      <c r="N383" s="99" t="s">
        <v>1162</v>
      </c>
    </row>
    <row r="384" spans="1:14" x14ac:dyDescent="0.55000000000000004">
      <c r="A384" s="107" t="s">
        <v>358</v>
      </c>
      <c r="B384" s="100" t="s">
        <v>359</v>
      </c>
      <c r="C384" s="100" t="s">
        <v>265</v>
      </c>
      <c r="D384" s="101" t="s">
        <v>84</v>
      </c>
      <c r="E384" s="101" t="s">
        <v>1152</v>
      </c>
      <c r="F384" s="102">
        <v>0</v>
      </c>
      <c r="G384" s="100" t="s">
        <v>1161</v>
      </c>
      <c r="H384" s="99">
        <v>5</v>
      </c>
      <c r="I384" s="99">
        <f>VLOOKUP(G384,m2mFormatLUT!$B$2:$D$17,2,FALSE)</f>
        <v>1</v>
      </c>
      <c r="J384" s="99" t="str">
        <f>IF(E384=m2mFormatLUT!$A$2,CONCATENATE(DEC2HEX(I384,1),DEC2HEX(H384,3)),CONCATENATE(DEC2HEX(240,2),DEC2HEX(I384,1),DEC2HEX(H384,5)))</f>
        <v>1005</v>
      </c>
      <c r="K384" s="99">
        <v>0</v>
      </c>
      <c r="L384" s="99">
        <f>IF(I384=6,(LEN(K384)+1)*8,IF(I384=7,(1 + HEX2DEC(MID(K384,3,FIND(",",K384)-3)))*8,IF(I384=14,(LEN(K384)+1)*16,IF(I384=15,(1 + HEX2DEC(MID(K384,3,FIND(",",K384)-3)))*16,VLOOKUP(G384,m2mFormatLUT!$B$2:$D$17,3,FALSE)))))</f>
        <v>8</v>
      </c>
      <c r="N384" s="99" t="s">
        <v>1162</v>
      </c>
    </row>
    <row r="385" spans="1:14" x14ac:dyDescent="0.55000000000000004">
      <c r="A385" s="107" t="s">
        <v>537</v>
      </c>
      <c r="B385" s="105" t="s">
        <v>538</v>
      </c>
      <c r="C385" s="100" t="s">
        <v>265</v>
      </c>
      <c r="D385" s="106" t="s">
        <v>103</v>
      </c>
      <c r="E385" s="101" t="s">
        <v>1152</v>
      </c>
      <c r="F385" s="102">
        <v>0</v>
      </c>
      <c r="G385" s="100" t="s">
        <v>1161</v>
      </c>
      <c r="H385" s="99">
        <v>6</v>
      </c>
      <c r="I385" s="99">
        <f>VLOOKUP(G385,m2mFormatLUT!$B$2:$D$17,2,FALSE)</f>
        <v>1</v>
      </c>
      <c r="J385" s="99" t="str">
        <f>IF(E385=m2mFormatLUT!$A$2,CONCATENATE(DEC2HEX(I385,1),DEC2HEX(H385,3)),CONCATENATE(DEC2HEX(240,2),DEC2HEX(I385,1),DEC2HEX(H385,5)))</f>
        <v>1006</v>
      </c>
      <c r="K385" s="99">
        <v>0</v>
      </c>
      <c r="L385" s="99">
        <f>IF(I385=6,(LEN(K385)+1)*8,IF(I385=7,(1 + HEX2DEC(MID(K385,3,FIND(",",K385)-3)))*8,IF(I385=14,(LEN(K385)+1)*16,IF(I385=15,(1 + HEX2DEC(MID(K385,3,FIND(",",K385)-3)))*16,VLOOKUP(G385,m2mFormatLUT!$B$2:$D$17,3,FALSE)))))</f>
        <v>8</v>
      </c>
      <c r="N385" s="99" t="s">
        <v>1162</v>
      </c>
    </row>
    <row r="386" spans="1:14" x14ac:dyDescent="0.55000000000000004">
      <c r="A386" s="99" t="s">
        <v>1068</v>
      </c>
      <c r="B386" s="105" t="s">
        <v>1069</v>
      </c>
      <c r="C386" s="100" t="s">
        <v>265</v>
      </c>
      <c r="D386" s="106" t="s">
        <v>625</v>
      </c>
      <c r="E386" s="101" t="s">
        <v>1152</v>
      </c>
      <c r="F386" s="102">
        <v>0</v>
      </c>
      <c r="G386" s="100" t="s">
        <v>1161</v>
      </c>
      <c r="H386" s="99">
        <v>7</v>
      </c>
      <c r="I386" s="99">
        <f>VLOOKUP(G386,m2mFormatLUT!$B$2:$D$17,2,FALSE)</f>
        <v>1</v>
      </c>
      <c r="J386" s="99" t="str">
        <f>IF(E386=m2mFormatLUT!$A$2,CONCATENATE(DEC2HEX(I386,1),DEC2HEX(H386,3)),CONCATENATE(DEC2HEX(240,2),DEC2HEX(I386,1),DEC2HEX(H386,5)))</f>
        <v>1007</v>
      </c>
      <c r="K386" s="99">
        <v>0</v>
      </c>
      <c r="L386" s="99">
        <f>IF(I386=6,(LEN(K386)+1)*8,IF(I386=7,(1 + HEX2DEC(MID(K386,3,FIND(",",K386)-3)))*8,IF(I386=14,(LEN(K386)+1)*16,IF(I386=15,(1 + HEX2DEC(MID(K386,3,FIND(",",K386)-3)))*16,VLOOKUP(G386,m2mFormatLUT!$B$2:$D$17,3,FALSE)))))</f>
        <v>8</v>
      </c>
    </row>
    <row r="387" spans="1:14" x14ac:dyDescent="0.55000000000000004">
      <c r="A387" s="99" t="s">
        <v>1076</v>
      </c>
      <c r="B387" s="105" t="s">
        <v>1077</v>
      </c>
      <c r="C387" s="100" t="s">
        <v>265</v>
      </c>
      <c r="D387" s="106" t="s">
        <v>625</v>
      </c>
      <c r="E387" s="101" t="s">
        <v>1152</v>
      </c>
      <c r="F387" s="102">
        <v>0</v>
      </c>
      <c r="G387" s="100" t="s">
        <v>1161</v>
      </c>
      <c r="H387" s="99">
        <v>8</v>
      </c>
      <c r="I387" s="99">
        <f>VLOOKUP(G387,m2mFormatLUT!$B$2:$D$17,2,FALSE)</f>
        <v>1</v>
      </c>
      <c r="J387" s="99" t="str">
        <f>IF(E387=m2mFormatLUT!$A$2,CONCATENATE(DEC2HEX(I387,1),DEC2HEX(H387,3)),CONCATENATE(DEC2HEX(240,2),DEC2HEX(I387,1),DEC2HEX(H387,5)))</f>
        <v>1008</v>
      </c>
      <c r="K387" s="99">
        <v>0</v>
      </c>
      <c r="L387" s="99">
        <f>IF(I387=6,(LEN(K387)+1)*8,IF(I387=7,(1 + HEX2DEC(MID(K387,3,FIND(",",K387)-3)))*8,IF(I387=14,(LEN(K387)+1)*16,IF(I387=15,(1 + HEX2DEC(MID(K387,3,FIND(",",K387)-3)))*16,VLOOKUP(G387,m2mFormatLUT!$B$2:$D$17,3,FALSE)))))</f>
        <v>8</v>
      </c>
    </row>
    <row r="388" spans="1:14" x14ac:dyDescent="0.55000000000000004">
      <c r="A388" s="99" t="s">
        <v>1090</v>
      </c>
      <c r="B388" s="105" t="s">
        <v>1091</v>
      </c>
      <c r="C388" s="100" t="s">
        <v>265</v>
      </c>
      <c r="D388" s="106" t="s">
        <v>625</v>
      </c>
      <c r="E388" s="101" t="s">
        <v>1152</v>
      </c>
      <c r="F388" s="102">
        <v>0</v>
      </c>
      <c r="G388" s="100" t="s">
        <v>1161</v>
      </c>
      <c r="H388" s="99">
        <v>9</v>
      </c>
      <c r="I388" s="99">
        <f>VLOOKUP(G388,m2mFormatLUT!$B$2:$D$17,2,FALSE)</f>
        <v>1</v>
      </c>
      <c r="J388" s="99" t="str">
        <f>IF(E388=m2mFormatLUT!$A$2,CONCATENATE(DEC2HEX(I388,1),DEC2HEX(H388,3)),CONCATENATE(DEC2HEX(240,2),DEC2HEX(I388,1),DEC2HEX(H388,5)))</f>
        <v>1009</v>
      </c>
      <c r="K388" s="99">
        <v>0</v>
      </c>
      <c r="L388" s="99">
        <f>IF(I388=6,(LEN(K388)+1)*8,IF(I388=7,(1 + HEX2DEC(MID(K388,3,FIND(",",K388)-3)))*8,IF(I388=14,(LEN(K388)+1)*16,IF(I388=15,(1 + HEX2DEC(MID(K388,3,FIND(",",K388)-3)))*16,VLOOKUP(G388,m2mFormatLUT!$B$2:$D$17,3,FALSE)))))</f>
        <v>8</v>
      </c>
    </row>
    <row r="389" spans="1:14" x14ac:dyDescent="0.55000000000000004">
      <c r="A389" s="99" t="s">
        <v>1092</v>
      </c>
      <c r="B389" s="105" t="s">
        <v>1093</v>
      </c>
      <c r="C389" s="100" t="s">
        <v>265</v>
      </c>
      <c r="D389" s="106" t="s">
        <v>625</v>
      </c>
      <c r="E389" s="101" t="s">
        <v>1152</v>
      </c>
      <c r="F389" s="102">
        <v>0</v>
      </c>
      <c r="G389" s="100" t="s">
        <v>1161</v>
      </c>
      <c r="H389" s="99">
        <v>10</v>
      </c>
      <c r="I389" s="99">
        <f>VLOOKUP(G389,m2mFormatLUT!$B$2:$D$17,2,FALSE)</f>
        <v>1</v>
      </c>
      <c r="J389" s="99" t="str">
        <f>IF(E389=m2mFormatLUT!$A$2,CONCATENATE(DEC2HEX(I389,1),DEC2HEX(H389,3)),CONCATENATE(DEC2HEX(240,2),DEC2HEX(I389,1),DEC2HEX(H389,5)))</f>
        <v>100A</v>
      </c>
      <c r="K389" s="99">
        <v>0</v>
      </c>
      <c r="L389" s="99">
        <f>IF(I389=6,(LEN(K389)+1)*8,IF(I389=7,(1 + HEX2DEC(MID(K389,3,FIND(",",K389)-3)))*8,IF(I389=14,(LEN(K389)+1)*16,IF(I389=15,(1 + HEX2DEC(MID(K389,3,FIND(",",K389)-3)))*16,VLOOKUP(G389,m2mFormatLUT!$B$2:$D$17,3,FALSE)))))</f>
        <v>8</v>
      </c>
    </row>
    <row r="390" spans="1:14" x14ac:dyDescent="0.55000000000000004">
      <c r="A390" s="99" t="s">
        <v>1096</v>
      </c>
      <c r="B390" s="105" t="s">
        <v>1097</v>
      </c>
      <c r="C390" s="100" t="s">
        <v>265</v>
      </c>
      <c r="D390" s="106" t="s">
        <v>625</v>
      </c>
      <c r="E390" s="101" t="s">
        <v>1152</v>
      </c>
      <c r="F390" s="102">
        <v>0</v>
      </c>
      <c r="G390" s="100" t="s">
        <v>1161</v>
      </c>
      <c r="H390" s="99">
        <v>11</v>
      </c>
      <c r="I390" s="99">
        <f>VLOOKUP(G390,m2mFormatLUT!$B$2:$D$17,2,FALSE)</f>
        <v>1</v>
      </c>
      <c r="J390" s="99" t="str">
        <f>IF(E390=m2mFormatLUT!$A$2,CONCATENATE(DEC2HEX(I390,1),DEC2HEX(H390,3)),CONCATENATE(DEC2HEX(240,2),DEC2HEX(I390,1),DEC2HEX(H390,5)))</f>
        <v>100B</v>
      </c>
      <c r="K390" s="99">
        <v>0</v>
      </c>
      <c r="L390" s="99">
        <f>IF(I390=6,(LEN(K390)+1)*8,IF(I390=7,(1 + HEX2DEC(MID(K390,3,FIND(",",K390)-3)))*8,IF(I390=14,(LEN(K390)+1)*16,IF(I390=15,(1 + HEX2DEC(MID(K390,3,FIND(",",K390)-3)))*16,VLOOKUP(G390,m2mFormatLUT!$B$2:$D$17,3,FALSE)))))</f>
        <v>8</v>
      </c>
    </row>
    <row r="391" spans="1:14" x14ac:dyDescent="0.55000000000000004">
      <c r="A391" s="99" t="s">
        <v>1104</v>
      </c>
      <c r="B391" s="105" t="s">
        <v>1105</v>
      </c>
      <c r="C391" s="100" t="s">
        <v>265</v>
      </c>
      <c r="D391" s="106" t="s">
        <v>625</v>
      </c>
      <c r="E391" s="101" t="s">
        <v>1152</v>
      </c>
      <c r="F391" s="102">
        <v>0</v>
      </c>
      <c r="G391" s="100" t="s">
        <v>1161</v>
      </c>
      <c r="H391" s="99">
        <v>12</v>
      </c>
      <c r="I391" s="99">
        <f>VLOOKUP(G391,m2mFormatLUT!$B$2:$D$17,2,FALSE)</f>
        <v>1</v>
      </c>
      <c r="J391" s="99" t="str">
        <f>IF(E391=m2mFormatLUT!$A$2,CONCATENATE(DEC2HEX(I391,1),DEC2HEX(H391,3)),CONCATENATE(DEC2HEX(240,2),DEC2HEX(I391,1),DEC2HEX(H391,5)))</f>
        <v>100C</v>
      </c>
      <c r="K391" s="99">
        <v>0</v>
      </c>
      <c r="L391" s="99">
        <f>IF(I391=6,(LEN(K391)+1)*8,IF(I391=7,(1 + HEX2DEC(MID(K391,3,FIND(",",K391)-3)))*8,IF(I391=14,(LEN(K391)+1)*16,IF(I391=15,(1 + HEX2DEC(MID(K391,3,FIND(",",K391)-3)))*16,VLOOKUP(G391,m2mFormatLUT!$B$2:$D$17,3,FALSE)))))</f>
        <v>8</v>
      </c>
    </row>
    <row r="392" spans="1:14" x14ac:dyDescent="0.55000000000000004">
      <c r="A392" s="107" t="s">
        <v>1106</v>
      </c>
      <c r="B392" s="105" t="s">
        <v>1107</v>
      </c>
      <c r="C392" s="100" t="s">
        <v>265</v>
      </c>
      <c r="D392" s="106" t="s">
        <v>625</v>
      </c>
      <c r="E392" s="101" t="s">
        <v>1152</v>
      </c>
      <c r="F392" s="102">
        <v>0</v>
      </c>
      <c r="G392" s="100" t="s">
        <v>1161</v>
      </c>
      <c r="H392" s="99">
        <v>13</v>
      </c>
      <c r="I392" s="99">
        <f>VLOOKUP(G392,m2mFormatLUT!$B$2:$D$17,2,FALSE)</f>
        <v>1</v>
      </c>
      <c r="J392" s="99" t="str">
        <f>IF(E392=m2mFormatLUT!$A$2,CONCATENATE(DEC2HEX(I392,1),DEC2HEX(H392,3)),CONCATENATE(DEC2HEX(240,2),DEC2HEX(I392,1),DEC2HEX(H392,5)))</f>
        <v>100D</v>
      </c>
      <c r="K392" s="99">
        <v>0</v>
      </c>
      <c r="L392" s="99">
        <f>IF(I392=6,(LEN(K392)+1)*8,IF(I392=7,(1 + HEX2DEC(MID(K392,3,FIND(",",K392)-3)))*8,IF(I392=14,(LEN(K392)+1)*16,IF(I392=15,(1 + HEX2DEC(MID(K392,3,FIND(",",K392)-3)))*16,VLOOKUP(G392,m2mFormatLUT!$B$2:$D$17,3,FALSE)))))</f>
        <v>8</v>
      </c>
    </row>
    <row r="393" spans="1:14" x14ac:dyDescent="0.55000000000000004">
      <c r="A393" s="99" t="s">
        <v>637</v>
      </c>
      <c r="B393" s="105" t="s">
        <v>638</v>
      </c>
      <c r="C393" s="100" t="s">
        <v>265</v>
      </c>
      <c r="D393" s="106" t="s">
        <v>625</v>
      </c>
      <c r="E393" s="101" t="s">
        <v>1152</v>
      </c>
      <c r="F393" s="102">
        <v>0</v>
      </c>
      <c r="G393" s="100" t="s">
        <v>1163</v>
      </c>
      <c r="H393" s="99">
        <v>0</v>
      </c>
      <c r="I393" s="99">
        <f>VLOOKUP(G393,m2mFormatLUT!$B$2:$D$17,2,FALSE)</f>
        <v>2</v>
      </c>
      <c r="J393" s="99" t="str">
        <f>IF(E393=m2mFormatLUT!$A$2,CONCATENATE(DEC2HEX(I393,1),DEC2HEX(H393,3)),CONCATENATE(DEC2HEX(240,2),DEC2HEX(I393,1),DEC2HEX(H393,5)))</f>
        <v>2000</v>
      </c>
      <c r="K393" s="99">
        <v>0</v>
      </c>
      <c r="L393" s="99">
        <f>IF(I393=6,(LEN(K393)+1)*8,IF(I393=7,(1 + HEX2DEC(MID(K393,3,FIND(",",K393)-3)))*8,IF(I393=14,(LEN(K393)+1)*16,IF(I393=15,(1 + HEX2DEC(MID(K393,3,FIND(",",K393)-3)))*16,VLOOKUP(G393,m2mFormatLUT!$B$2:$D$17,3,FALSE)))))</f>
        <v>16</v>
      </c>
    </row>
    <row r="394" spans="1:14" x14ac:dyDescent="0.55000000000000004">
      <c r="A394" s="99" t="s">
        <v>1078</v>
      </c>
      <c r="B394" s="105" t="s">
        <v>1079</v>
      </c>
      <c r="C394" s="100" t="s">
        <v>265</v>
      </c>
      <c r="D394" s="106" t="s">
        <v>625</v>
      </c>
      <c r="E394" s="101" t="s">
        <v>1152</v>
      </c>
      <c r="F394" s="102">
        <v>0</v>
      </c>
      <c r="G394" s="100" t="s">
        <v>1163</v>
      </c>
      <c r="H394" s="99">
        <v>1</v>
      </c>
      <c r="I394" s="99">
        <f>VLOOKUP(G394,m2mFormatLUT!$B$2:$D$17,2,FALSE)</f>
        <v>2</v>
      </c>
      <c r="J394" s="99" t="str">
        <f>IF(E394=m2mFormatLUT!$A$2,CONCATENATE(DEC2HEX(I394,1),DEC2HEX(H394,3)),CONCATENATE(DEC2HEX(240,2),DEC2HEX(I394,1),DEC2HEX(H394,5)))</f>
        <v>2001</v>
      </c>
      <c r="K394" s="99">
        <v>0</v>
      </c>
      <c r="L394" s="99">
        <f>IF(I394=6,(LEN(K394)+1)*8,IF(I394=7,(1 + HEX2DEC(MID(K394,3,FIND(",",K394)-3)))*8,IF(I394=14,(LEN(K394)+1)*16,IF(I394=15,(1 + HEX2DEC(MID(K394,3,FIND(",",K394)-3)))*16,VLOOKUP(G394,m2mFormatLUT!$B$2:$D$17,3,FALSE)))))</f>
        <v>16</v>
      </c>
    </row>
    <row r="395" spans="1:14" x14ac:dyDescent="0.55000000000000004">
      <c r="A395" s="99" t="s">
        <v>1080</v>
      </c>
      <c r="B395" s="105" t="s">
        <v>1081</v>
      </c>
      <c r="C395" s="100" t="s">
        <v>265</v>
      </c>
      <c r="D395" s="106" t="s">
        <v>625</v>
      </c>
      <c r="E395" s="101" t="s">
        <v>1152</v>
      </c>
      <c r="F395" s="102">
        <v>0</v>
      </c>
      <c r="G395" s="100" t="s">
        <v>1163</v>
      </c>
      <c r="H395" s="99">
        <v>2</v>
      </c>
      <c r="I395" s="99">
        <f>VLOOKUP(G395,m2mFormatLUT!$B$2:$D$17,2,FALSE)</f>
        <v>2</v>
      </c>
      <c r="J395" s="99" t="str">
        <f>IF(E395=m2mFormatLUT!$A$2,CONCATENATE(DEC2HEX(I395,1),DEC2HEX(H395,3)),CONCATENATE(DEC2HEX(240,2),DEC2HEX(I395,1),DEC2HEX(H395,5)))</f>
        <v>2002</v>
      </c>
      <c r="K395" s="99">
        <v>0</v>
      </c>
      <c r="L395" s="99">
        <f>IF(I395=6,(LEN(K395)+1)*8,IF(I395=7,(1 + HEX2DEC(MID(K395,3,FIND(",",K395)-3)))*8,IF(I395=14,(LEN(K395)+1)*16,IF(I395=15,(1 + HEX2DEC(MID(K395,3,FIND(",",K395)-3)))*16,VLOOKUP(G395,m2mFormatLUT!$B$2:$D$17,3,FALSE)))))</f>
        <v>16</v>
      </c>
    </row>
    <row r="396" spans="1:14" x14ac:dyDescent="0.55000000000000004">
      <c r="A396" s="99" t="s">
        <v>1082</v>
      </c>
      <c r="B396" s="105" t="s">
        <v>1083</v>
      </c>
      <c r="C396" s="100" t="s">
        <v>265</v>
      </c>
      <c r="D396" s="106" t="s">
        <v>625</v>
      </c>
      <c r="E396" s="101" t="s">
        <v>1152</v>
      </c>
      <c r="F396" s="102">
        <v>0</v>
      </c>
      <c r="G396" s="100" t="s">
        <v>1163</v>
      </c>
      <c r="H396" s="99">
        <v>3</v>
      </c>
      <c r="I396" s="99">
        <f>VLOOKUP(G396,m2mFormatLUT!$B$2:$D$17,2,FALSE)</f>
        <v>2</v>
      </c>
      <c r="J396" s="99" t="str">
        <f>IF(E396=m2mFormatLUT!$A$2,CONCATENATE(DEC2HEX(I396,1),DEC2HEX(H396,3)),CONCATENATE(DEC2HEX(240,2),DEC2HEX(I396,1),DEC2HEX(H396,5)))</f>
        <v>2003</v>
      </c>
      <c r="K396" s="99">
        <v>0</v>
      </c>
      <c r="L396" s="99">
        <f>IF(I396=6,(LEN(K396)+1)*8,IF(I396=7,(1 + HEX2DEC(MID(K396,3,FIND(",",K396)-3)))*8,IF(I396=14,(LEN(K396)+1)*16,IF(I396=15,(1 + HEX2DEC(MID(K396,3,FIND(",",K396)-3)))*16,VLOOKUP(G396,m2mFormatLUT!$B$2:$D$17,3,FALSE)))))</f>
        <v>16</v>
      </c>
    </row>
    <row r="397" spans="1:14" x14ac:dyDescent="0.55000000000000004">
      <c r="A397" s="107" t="s">
        <v>1084</v>
      </c>
      <c r="B397" s="105" t="s">
        <v>1085</v>
      </c>
      <c r="C397" s="100" t="s">
        <v>265</v>
      </c>
      <c r="D397" s="106" t="s">
        <v>625</v>
      </c>
      <c r="E397" s="101" t="s">
        <v>1152</v>
      </c>
      <c r="F397" s="102">
        <v>0</v>
      </c>
      <c r="G397" s="100" t="s">
        <v>1163</v>
      </c>
      <c r="H397" s="99">
        <v>4</v>
      </c>
      <c r="I397" s="99">
        <f>VLOOKUP(G397,m2mFormatLUT!$B$2:$D$17,2,FALSE)</f>
        <v>2</v>
      </c>
      <c r="J397" s="99" t="str">
        <f>IF(E397=m2mFormatLUT!$A$2,CONCATENATE(DEC2HEX(I397,1),DEC2HEX(H397,3)),CONCATENATE(DEC2HEX(240,2),DEC2HEX(I397,1),DEC2HEX(H397,5)))</f>
        <v>2004</v>
      </c>
      <c r="K397" s="99">
        <v>0</v>
      </c>
      <c r="L397" s="99">
        <f>IF(I397=6,(LEN(K397)+1)*8,IF(I397=7,(1 + HEX2DEC(MID(K397,3,FIND(",",K397)-3)))*8,IF(I397=14,(LEN(K397)+1)*16,IF(I397=15,(1 + HEX2DEC(MID(K397,3,FIND(",",K397)-3)))*16,VLOOKUP(G397,m2mFormatLUT!$B$2:$D$17,3,FALSE)))))</f>
        <v>16</v>
      </c>
    </row>
    <row r="398" spans="1:14" x14ac:dyDescent="0.55000000000000004">
      <c r="A398" s="107" t="s">
        <v>1086</v>
      </c>
      <c r="B398" s="105" t="s">
        <v>1087</v>
      </c>
      <c r="C398" s="100" t="s">
        <v>265</v>
      </c>
      <c r="D398" s="106" t="s">
        <v>625</v>
      </c>
      <c r="E398" s="101" t="s">
        <v>1152</v>
      </c>
      <c r="F398" s="102">
        <v>0</v>
      </c>
      <c r="G398" s="100" t="s">
        <v>1163</v>
      </c>
      <c r="H398" s="99">
        <v>5</v>
      </c>
      <c r="I398" s="99">
        <f>VLOOKUP(G398,m2mFormatLUT!$B$2:$D$17,2,FALSE)</f>
        <v>2</v>
      </c>
      <c r="J398" s="99" t="str">
        <f>IF(E398=m2mFormatLUT!$A$2,CONCATENATE(DEC2HEX(I398,1),DEC2HEX(H398,3)),CONCATENATE(DEC2HEX(240,2),DEC2HEX(I398,1),DEC2HEX(H398,5)))</f>
        <v>2005</v>
      </c>
      <c r="K398" s="99">
        <v>0</v>
      </c>
      <c r="L398" s="99">
        <f>IF(I398=6,(LEN(K398)+1)*8,IF(I398=7,(1 + HEX2DEC(MID(K398,3,FIND(",",K398)-3)))*8,IF(I398=14,(LEN(K398)+1)*16,IF(I398=15,(1 + HEX2DEC(MID(K398,3,FIND(",",K398)-3)))*16,VLOOKUP(G398,m2mFormatLUT!$B$2:$D$17,3,FALSE)))))</f>
        <v>16</v>
      </c>
    </row>
    <row r="399" spans="1:14" x14ac:dyDescent="0.55000000000000004">
      <c r="A399" s="107" t="s">
        <v>1088</v>
      </c>
      <c r="B399" s="105" t="s">
        <v>1089</v>
      </c>
      <c r="C399" s="100" t="s">
        <v>265</v>
      </c>
      <c r="D399" s="106" t="s">
        <v>625</v>
      </c>
      <c r="E399" s="101" t="s">
        <v>1152</v>
      </c>
      <c r="F399" s="102">
        <v>0</v>
      </c>
      <c r="G399" s="100" t="s">
        <v>1163</v>
      </c>
      <c r="H399" s="99">
        <v>6</v>
      </c>
      <c r="I399" s="99">
        <f>VLOOKUP(G399,m2mFormatLUT!$B$2:$D$17,2,FALSE)</f>
        <v>2</v>
      </c>
      <c r="J399" s="99" t="str">
        <f>IF(E399=m2mFormatLUT!$A$2,CONCATENATE(DEC2HEX(I399,1),DEC2HEX(H399,3)),CONCATENATE(DEC2HEX(240,2),DEC2HEX(I399,1),DEC2HEX(H399,5)))</f>
        <v>2006</v>
      </c>
      <c r="K399" s="99">
        <v>0</v>
      </c>
      <c r="L399" s="99">
        <f>IF(I399=6,(LEN(K399)+1)*8,IF(I399=7,(1 + HEX2DEC(MID(K399,3,FIND(",",K399)-3)))*8,IF(I399=14,(LEN(K399)+1)*16,IF(I399=15,(1 + HEX2DEC(MID(K399,3,FIND(",",K399)-3)))*16,VLOOKUP(G399,m2mFormatLUT!$B$2:$D$17,3,FALSE)))))</f>
        <v>16</v>
      </c>
    </row>
    <row r="400" spans="1:14" x14ac:dyDescent="0.55000000000000004">
      <c r="A400" s="99" t="s">
        <v>1094</v>
      </c>
      <c r="B400" s="105" t="s">
        <v>1095</v>
      </c>
      <c r="C400" s="100" t="s">
        <v>265</v>
      </c>
      <c r="D400" s="106" t="s">
        <v>625</v>
      </c>
      <c r="E400" s="101" t="s">
        <v>1152</v>
      </c>
      <c r="F400" s="102">
        <v>0</v>
      </c>
      <c r="G400" s="100" t="s">
        <v>1163</v>
      </c>
      <c r="H400" s="99">
        <v>7</v>
      </c>
      <c r="I400" s="99">
        <f>VLOOKUP(G400,m2mFormatLUT!$B$2:$D$17,2,FALSE)</f>
        <v>2</v>
      </c>
      <c r="J400" s="99" t="str">
        <f>IF(E400=m2mFormatLUT!$A$2,CONCATENATE(DEC2HEX(I400,1),DEC2HEX(H400,3)),CONCATENATE(DEC2HEX(240,2),DEC2HEX(I400,1),DEC2HEX(H400,5)))</f>
        <v>2007</v>
      </c>
      <c r="K400" s="99">
        <v>0</v>
      </c>
      <c r="L400" s="99">
        <f>IF(I400=6,(LEN(K400)+1)*8,IF(I400=7,(1 + HEX2DEC(MID(K400,3,FIND(",",K400)-3)))*8,IF(I400=14,(LEN(K400)+1)*16,IF(I400=15,(1 + HEX2DEC(MID(K400,3,FIND(",",K400)-3)))*16,VLOOKUP(G400,m2mFormatLUT!$B$2:$D$17,3,FALSE)))))</f>
        <v>16</v>
      </c>
    </row>
    <row r="401" spans="1:14" x14ac:dyDescent="0.55000000000000004">
      <c r="A401" s="99" t="s">
        <v>1074</v>
      </c>
      <c r="B401" s="105" t="s">
        <v>1075</v>
      </c>
      <c r="C401" s="100" t="s">
        <v>265</v>
      </c>
      <c r="D401" s="106" t="s">
        <v>625</v>
      </c>
      <c r="E401" s="101" t="s">
        <v>1152</v>
      </c>
      <c r="F401" s="102">
        <v>0</v>
      </c>
      <c r="G401" s="100" t="s">
        <v>1164</v>
      </c>
      <c r="H401" s="99">
        <v>0</v>
      </c>
      <c r="I401" s="99">
        <f>VLOOKUP(G401,m2mFormatLUT!$B$2:$D$17,2,FALSE)</f>
        <v>3</v>
      </c>
      <c r="J401" s="99" t="str">
        <f>IF(E401=m2mFormatLUT!$A$2,CONCATENATE(DEC2HEX(I401,1),DEC2HEX(H401,3)),CONCATENATE(DEC2HEX(240,2),DEC2HEX(I401,1),DEC2HEX(H401,5)))</f>
        <v>3000</v>
      </c>
      <c r="K401" s="99">
        <v>0</v>
      </c>
      <c r="L401" s="99">
        <f>IF(I401=6,(LEN(K401)+1)*8,IF(I401=7,(1 + HEX2DEC(MID(K401,3,FIND(",",K401)-3)))*8,IF(I401=14,(LEN(K401)+1)*16,IF(I401=15,(1 + HEX2DEC(MID(K401,3,FIND(",",K401)-3)))*16,VLOOKUP(G401,m2mFormatLUT!$B$2:$D$17,3,FALSE)))))</f>
        <v>16</v>
      </c>
    </row>
    <row r="402" spans="1:14" x14ac:dyDescent="0.55000000000000004">
      <c r="A402" s="107" t="s">
        <v>361</v>
      </c>
      <c r="B402" s="100" t="s">
        <v>93</v>
      </c>
      <c r="C402" s="100" t="s">
        <v>265</v>
      </c>
      <c r="D402" s="101" t="s">
        <v>94</v>
      </c>
      <c r="E402" s="101" t="s">
        <v>1152</v>
      </c>
      <c r="F402" s="102">
        <v>0</v>
      </c>
      <c r="G402" s="100" t="s">
        <v>1165</v>
      </c>
      <c r="H402" s="99">
        <v>0</v>
      </c>
      <c r="I402" s="99">
        <f>VLOOKUP(G402,m2mFormatLUT!$B$2:$D$17,2,FALSE)</f>
        <v>4</v>
      </c>
      <c r="J402" s="99" t="str">
        <f>IF(E402=m2mFormatLUT!$A$2,CONCATENATE(DEC2HEX(I402,1),DEC2HEX(H402,3)),CONCATENATE(DEC2HEX(240,2),DEC2HEX(I402,1),DEC2HEX(H402,5)))</f>
        <v>4000</v>
      </c>
      <c r="K402" s="99">
        <v>0</v>
      </c>
      <c r="L402" s="99">
        <f>IF(I402=6,(LEN(K402)+1)*8,IF(I402=7,(1 + HEX2DEC(MID(K402,3,FIND(",",K402)-3)))*8,IF(I402=14,(LEN(K402)+1)*16,IF(I402=15,(1 + HEX2DEC(MID(K402,3,FIND(",",K402)-3)))*16,VLOOKUP(G402,m2mFormatLUT!$B$2:$D$17,3,FALSE)))))</f>
        <v>32</v>
      </c>
      <c r="N402" s="99" t="s">
        <v>1162</v>
      </c>
    </row>
    <row r="403" spans="1:14" x14ac:dyDescent="0.55000000000000004">
      <c r="A403" s="99" t="s">
        <v>635</v>
      </c>
      <c r="B403" s="105" t="s">
        <v>636</v>
      </c>
      <c r="C403" s="100" t="s">
        <v>265</v>
      </c>
      <c r="D403" s="106" t="s">
        <v>625</v>
      </c>
      <c r="E403" s="101" t="s">
        <v>1152</v>
      </c>
      <c r="F403" s="102">
        <v>0</v>
      </c>
      <c r="G403" s="100" t="s">
        <v>1165</v>
      </c>
      <c r="H403" s="99">
        <v>1</v>
      </c>
      <c r="I403" s="99">
        <f>VLOOKUP(G403,m2mFormatLUT!$B$2:$D$17,2,FALSE)</f>
        <v>4</v>
      </c>
      <c r="J403" s="99" t="str">
        <f>IF(E403=m2mFormatLUT!$A$2,CONCATENATE(DEC2HEX(I403,1),DEC2HEX(H403,3)),CONCATENATE(DEC2HEX(240,2),DEC2HEX(I403,1),DEC2HEX(H403,5)))</f>
        <v>4001</v>
      </c>
      <c r="K403" s="99">
        <v>0</v>
      </c>
      <c r="L403" s="99">
        <f>IF(I403=6,(LEN(K403)+1)*8,IF(I403=7,(1 + HEX2DEC(MID(K403,3,FIND(",",K403)-3)))*8,IF(I403=14,(LEN(K403)+1)*16,IF(I403=15,(1 + HEX2DEC(MID(K403,3,FIND(",",K403)-3)))*16,VLOOKUP(G403,m2mFormatLUT!$B$2:$D$17,3,FALSE)))))</f>
        <v>32</v>
      </c>
    </row>
    <row r="404" spans="1:14" x14ac:dyDescent="0.55000000000000004">
      <c r="A404" s="99" t="s">
        <v>664</v>
      </c>
      <c r="B404" s="105" t="s">
        <v>665</v>
      </c>
      <c r="C404" s="100" t="s">
        <v>265</v>
      </c>
      <c r="D404" s="106" t="s">
        <v>94</v>
      </c>
      <c r="E404" s="101" t="s">
        <v>1152</v>
      </c>
      <c r="F404" s="102">
        <v>0</v>
      </c>
      <c r="G404" s="100" t="s">
        <v>1165</v>
      </c>
      <c r="H404" s="99">
        <v>2</v>
      </c>
      <c r="I404" s="99">
        <f>VLOOKUP(G404,m2mFormatLUT!$B$2:$D$17,2,FALSE)</f>
        <v>4</v>
      </c>
      <c r="J404" s="99" t="str">
        <f>IF(E404=m2mFormatLUT!$A$2,CONCATENATE(DEC2HEX(I404,1),DEC2HEX(H404,3)),CONCATENATE(DEC2HEX(240,2),DEC2HEX(I404,1),DEC2HEX(H404,5)))</f>
        <v>4002</v>
      </c>
      <c r="K404" s="99">
        <v>0</v>
      </c>
      <c r="L404" s="99">
        <f>IF(I404=6,(LEN(K404)+1)*8,IF(I404=7,(1 + HEX2DEC(MID(K404,3,FIND(",",K404)-3)))*8,IF(I404=14,(LEN(K404)+1)*16,IF(I404=15,(1 + HEX2DEC(MID(K404,3,FIND(",",K404)-3)))*16,VLOOKUP(G404,m2mFormatLUT!$B$2:$D$17,3,FALSE)))))</f>
        <v>32</v>
      </c>
    </row>
    <row r="405" spans="1:14" x14ac:dyDescent="0.55000000000000004">
      <c r="A405" s="99" t="s">
        <v>1070</v>
      </c>
      <c r="B405" s="105" t="s">
        <v>1071</v>
      </c>
      <c r="C405" s="100" t="s">
        <v>265</v>
      </c>
      <c r="D405" s="106" t="s">
        <v>625</v>
      </c>
      <c r="E405" s="101" t="s">
        <v>1152</v>
      </c>
      <c r="F405" s="102">
        <v>0</v>
      </c>
      <c r="G405" s="100" t="s">
        <v>1165</v>
      </c>
      <c r="H405" s="99">
        <v>3</v>
      </c>
      <c r="I405" s="99">
        <f>VLOOKUP(G405,m2mFormatLUT!$B$2:$D$17,2,FALSE)</f>
        <v>4</v>
      </c>
      <c r="J405" s="99" t="str">
        <f>IF(E405=m2mFormatLUT!$A$2,CONCATENATE(DEC2HEX(I405,1),DEC2HEX(H405,3)),CONCATENATE(DEC2HEX(240,2),DEC2HEX(I405,1),DEC2HEX(H405,5)))</f>
        <v>4003</v>
      </c>
      <c r="K405" s="99">
        <v>0</v>
      </c>
      <c r="L405" s="99">
        <f>IF(I405=6,(LEN(K405)+1)*8,IF(I405=7,(1 + HEX2DEC(MID(K405,3,FIND(",",K405)-3)))*8,IF(I405=14,(LEN(K405)+1)*16,IF(I405=15,(1 + HEX2DEC(MID(K405,3,FIND(",",K405)-3)))*16,VLOOKUP(G405,m2mFormatLUT!$B$2:$D$17,3,FALSE)))))</f>
        <v>32</v>
      </c>
    </row>
    <row r="406" spans="1:14" x14ac:dyDescent="0.55000000000000004">
      <c r="A406" s="99" t="s">
        <v>1072</v>
      </c>
      <c r="B406" s="105" t="s">
        <v>1073</v>
      </c>
      <c r="C406" s="100" t="s">
        <v>265</v>
      </c>
      <c r="D406" s="106" t="s">
        <v>625</v>
      </c>
      <c r="E406" s="101" t="s">
        <v>1152</v>
      </c>
      <c r="F406" s="102">
        <v>0</v>
      </c>
      <c r="G406" s="100" t="s">
        <v>1165</v>
      </c>
      <c r="H406" s="99">
        <v>4</v>
      </c>
      <c r="I406" s="99">
        <f>VLOOKUP(G406,m2mFormatLUT!$B$2:$D$17,2,FALSE)</f>
        <v>4</v>
      </c>
      <c r="J406" s="99" t="str">
        <f>IF(E406=m2mFormatLUT!$A$2,CONCATENATE(DEC2HEX(I406,1),DEC2HEX(H406,3)),CONCATENATE(DEC2HEX(240,2),DEC2HEX(I406,1),DEC2HEX(H406,5)))</f>
        <v>4004</v>
      </c>
      <c r="K406" s="99">
        <v>0</v>
      </c>
      <c r="L406" s="99">
        <f>IF(I406=6,(LEN(K406)+1)*8,IF(I406=7,(1 + HEX2DEC(MID(K406,3,FIND(",",K406)-3)))*8,IF(I406=14,(LEN(K406)+1)*16,IF(I406=15,(1 + HEX2DEC(MID(K406,3,FIND(",",K406)-3)))*16,VLOOKUP(G406,m2mFormatLUT!$B$2:$D$17,3,FALSE)))))</f>
        <v>32</v>
      </c>
    </row>
    <row r="407" spans="1:14" x14ac:dyDescent="0.55000000000000004">
      <c r="A407" s="104" t="s">
        <v>1125</v>
      </c>
      <c r="B407" s="105" t="s">
        <v>1126</v>
      </c>
      <c r="C407" s="100" t="s">
        <v>265</v>
      </c>
      <c r="D407" s="106" t="s">
        <v>1114</v>
      </c>
      <c r="E407" s="101" t="s">
        <v>1152</v>
      </c>
      <c r="F407" s="102">
        <v>0</v>
      </c>
      <c r="G407" s="100" t="s">
        <v>1166</v>
      </c>
      <c r="H407" s="99">
        <v>0</v>
      </c>
      <c r="I407" s="99">
        <f>VLOOKUP(G407,m2mFormatLUT!$B$2:$D$17,2,FALSE)</f>
        <v>7</v>
      </c>
      <c r="J407" s="99" t="str">
        <f>IF(E407=m2mFormatLUT!$A$2,CONCATENATE(DEC2HEX(I407,1),DEC2HEX(H407,3)),CONCATENATE(DEC2HEX(240,2),DEC2HEX(I407,1),DEC2HEX(H407,5)))</f>
        <v>7000</v>
      </c>
      <c r="K407" s="109" t="s">
        <v>1167</v>
      </c>
      <c r="L407" s="99">
        <f>IF(I407=6,(LEN(K407)+1)*8,IF(I407=7,(1 + HEX2DEC(MID(K407,3,FIND(",",K407)-3)))*8,IF(I407=14,(LEN(K407)+1)*16,IF(I407=15,(1 + HEX2DEC(MID(K407,3,FIND(",",K407)-3)))*16,VLOOKUP(G407,m2mFormatLUT!$B$2:$D$17,3,FALSE)))))</f>
        <v>72</v>
      </c>
      <c r="N407" s="99" t="s">
        <v>1155</v>
      </c>
    </row>
    <row r="408" spans="1:14" x14ac:dyDescent="0.55000000000000004">
      <c r="A408" s="104" t="s">
        <v>1127</v>
      </c>
      <c r="B408" s="105" t="s">
        <v>1128</v>
      </c>
      <c r="C408" s="100" t="s">
        <v>265</v>
      </c>
      <c r="D408" s="106" t="s">
        <v>1114</v>
      </c>
      <c r="E408" s="101" t="s">
        <v>1152</v>
      </c>
      <c r="F408" s="102">
        <v>0</v>
      </c>
      <c r="G408" s="100" t="s">
        <v>1166</v>
      </c>
      <c r="H408" s="99">
        <v>1</v>
      </c>
      <c r="I408" s="99">
        <f>VLOOKUP(G408,m2mFormatLUT!$B$2:$D$17,2,FALSE)</f>
        <v>7</v>
      </c>
      <c r="J408" s="99" t="str">
        <f>IF(E408=m2mFormatLUT!$A$2,CONCATENATE(DEC2HEX(I408,1),DEC2HEX(H408,3)),CONCATENATE(DEC2HEX(240,2),DEC2HEX(I408,1),DEC2HEX(H408,5)))</f>
        <v>7001</v>
      </c>
      <c r="K408" s="99" t="s">
        <v>1167</v>
      </c>
      <c r="L408" s="99">
        <f>IF(I408=6,(LEN(K408)+1)*8,IF(I408=7,(1 + HEX2DEC(MID(K408,3,FIND(",",K408)-3)))*8,IF(I408=14,(LEN(K408)+1)*16,IF(I408=15,(1 + HEX2DEC(MID(K408,3,FIND(",",K408)-3)))*16,VLOOKUP(G408,m2mFormatLUT!$B$2:$D$17,3,FALSE)))))</f>
        <v>72</v>
      </c>
    </row>
    <row r="409" spans="1:14" x14ac:dyDescent="0.55000000000000004">
      <c r="A409" s="104" t="s">
        <v>1129</v>
      </c>
      <c r="B409" s="105" t="s">
        <v>1130</v>
      </c>
      <c r="C409" s="100" t="s">
        <v>265</v>
      </c>
      <c r="D409" s="106" t="s">
        <v>1114</v>
      </c>
      <c r="E409" s="101" t="s">
        <v>1152</v>
      </c>
      <c r="F409" s="102">
        <v>0</v>
      </c>
      <c r="G409" s="100" t="s">
        <v>1166</v>
      </c>
      <c r="H409" s="99">
        <v>2</v>
      </c>
      <c r="I409" s="99">
        <f>VLOOKUP(G409,m2mFormatLUT!$B$2:$D$17,2,FALSE)</f>
        <v>7</v>
      </c>
      <c r="J409" s="99" t="str">
        <f>IF(E409=m2mFormatLUT!$A$2,CONCATENATE(DEC2HEX(I409,1),DEC2HEX(H409,3)),CONCATENATE(DEC2HEX(240,2),DEC2HEX(I409,1),DEC2HEX(H409,5)))</f>
        <v>7002</v>
      </c>
      <c r="K409" s="99" t="s">
        <v>1167</v>
      </c>
      <c r="L409" s="99">
        <f>IF(I409=6,(LEN(K409)+1)*8,IF(I409=7,(1 + HEX2DEC(MID(K409,3,FIND(",",K409)-3)))*8,IF(I409=14,(LEN(K409)+1)*16,IF(I409=15,(1 + HEX2DEC(MID(K409,3,FIND(",",K409)-3)))*16,VLOOKUP(G409,m2mFormatLUT!$B$2:$D$17,3,FALSE)))))</f>
        <v>72</v>
      </c>
    </row>
    <row r="410" spans="1:14" x14ac:dyDescent="0.55000000000000004">
      <c r="A410" s="107" t="s">
        <v>666</v>
      </c>
      <c r="B410" s="105" t="s">
        <v>667</v>
      </c>
      <c r="C410" s="100" t="s">
        <v>265</v>
      </c>
      <c r="D410" s="106" t="s">
        <v>94</v>
      </c>
      <c r="E410" s="101" t="s">
        <v>1152</v>
      </c>
      <c r="F410" s="102">
        <v>0</v>
      </c>
      <c r="G410" s="100" t="s">
        <v>1168</v>
      </c>
      <c r="H410" s="99">
        <v>0</v>
      </c>
      <c r="I410" s="99">
        <f>VLOOKUP(G410,m2mFormatLUT!$B$2:$D$17,2,FALSE)</f>
        <v>9</v>
      </c>
      <c r="J410" s="99" t="str">
        <f>IF(E410=m2mFormatLUT!$A$2,CONCATENATE(DEC2HEX(I410,1),DEC2HEX(H410,3)),CONCATENATE(DEC2HEX(240,2),DEC2HEX(I410,1),DEC2HEX(H410,5)))</f>
        <v>9000</v>
      </c>
      <c r="K410" s="99">
        <v>0</v>
      </c>
      <c r="L410" s="99">
        <f>IF(I410=6,(LEN(K410)+1)*8,IF(I410=7,(1 + HEX2DEC(MID(K410,3,FIND(",",K410)-3)))*8,IF(I410=14,(LEN(K410)+1)*16,IF(I410=15,(1 + HEX2DEC(MID(K410,3,FIND(",",K410)-3)))*16,VLOOKUP(G410,m2mFormatLUT!$B$2:$D$17,3,FALSE)))))</f>
        <v>8</v>
      </c>
      <c r="N410" s="99" t="s">
        <v>1162</v>
      </c>
    </row>
    <row r="411" spans="1:14" x14ac:dyDescent="0.55000000000000004">
      <c r="A411" s="99" t="s">
        <v>815</v>
      </c>
      <c r="B411" s="105" t="s">
        <v>816</v>
      </c>
      <c r="C411" s="100" t="s">
        <v>265</v>
      </c>
      <c r="D411" s="106" t="s">
        <v>806</v>
      </c>
      <c r="E411" s="101" t="s">
        <v>1152</v>
      </c>
      <c r="F411" s="102">
        <v>0</v>
      </c>
      <c r="G411" s="100" t="s">
        <v>1168</v>
      </c>
      <c r="H411" s="99">
        <v>1</v>
      </c>
      <c r="I411" s="99">
        <f>VLOOKUP(G411,m2mFormatLUT!$B$2:$D$17,2,FALSE)</f>
        <v>9</v>
      </c>
      <c r="J411" s="99" t="str">
        <f>IF(E411=m2mFormatLUT!$A$2,CONCATENATE(DEC2HEX(I411,1),DEC2HEX(H411,3)),CONCATENATE(DEC2HEX(240,2),DEC2HEX(I411,1),DEC2HEX(H411,5)))</f>
        <v>9001</v>
      </c>
      <c r="K411" s="99">
        <v>0</v>
      </c>
      <c r="L411" s="99">
        <f>IF(I411=6,(LEN(K411)+1)*8,IF(I411=7,(1 + HEX2DEC(MID(K411,3,FIND(",",K411)-3)))*8,IF(I411=14,(LEN(K411)+1)*16,IF(I411=15,(1 + HEX2DEC(MID(K411,3,FIND(",",K411)-3)))*16,VLOOKUP(G411,m2mFormatLUT!$B$2:$D$17,3,FALSE)))))</f>
        <v>8</v>
      </c>
    </row>
    <row r="412" spans="1:14" x14ac:dyDescent="0.55000000000000004">
      <c r="A412" s="99" t="s">
        <v>817</v>
      </c>
      <c r="B412" s="105" t="s">
        <v>818</v>
      </c>
      <c r="C412" s="100" t="s">
        <v>265</v>
      </c>
      <c r="D412" s="106" t="s">
        <v>806</v>
      </c>
      <c r="E412" s="101" t="s">
        <v>1152</v>
      </c>
      <c r="F412" s="102">
        <v>0</v>
      </c>
      <c r="G412" s="100" t="s">
        <v>1168</v>
      </c>
      <c r="H412" s="99">
        <v>2</v>
      </c>
      <c r="I412" s="99">
        <f>VLOOKUP(G412,m2mFormatLUT!$B$2:$D$17,2,FALSE)</f>
        <v>9</v>
      </c>
      <c r="J412" s="99" t="str">
        <f>IF(E412=m2mFormatLUT!$A$2,CONCATENATE(DEC2HEX(I412,1),DEC2HEX(H412,3)),CONCATENATE(DEC2HEX(240,2),DEC2HEX(I412,1),DEC2HEX(H412,5)))</f>
        <v>9002</v>
      </c>
      <c r="K412" s="99">
        <v>0</v>
      </c>
      <c r="L412" s="99">
        <f>IF(I412=6,(LEN(K412)+1)*8,IF(I412=7,(1 + HEX2DEC(MID(K412,3,FIND(",",K412)-3)))*8,IF(I412=14,(LEN(K412)+1)*16,IF(I412=15,(1 + HEX2DEC(MID(K412,3,FIND(",",K412)-3)))*16,VLOOKUP(G412,m2mFormatLUT!$B$2:$D$17,3,FALSE)))))</f>
        <v>8</v>
      </c>
    </row>
    <row r="413" spans="1:14" x14ac:dyDescent="0.55000000000000004">
      <c r="A413" s="99" t="s">
        <v>819</v>
      </c>
      <c r="B413" s="105" t="s">
        <v>820</v>
      </c>
      <c r="C413" s="100" t="s">
        <v>265</v>
      </c>
      <c r="D413" s="106" t="s">
        <v>806</v>
      </c>
      <c r="E413" s="101" t="s">
        <v>1152</v>
      </c>
      <c r="F413" s="102">
        <v>0</v>
      </c>
      <c r="G413" s="100" t="s">
        <v>1168</v>
      </c>
      <c r="H413" s="99">
        <v>3</v>
      </c>
      <c r="I413" s="99">
        <f>VLOOKUP(G413,m2mFormatLUT!$B$2:$D$17,2,FALSE)</f>
        <v>9</v>
      </c>
      <c r="J413" s="99" t="str">
        <f>IF(E413=m2mFormatLUT!$A$2,CONCATENATE(DEC2HEX(I413,1),DEC2HEX(H413,3)),CONCATENATE(DEC2HEX(240,2),DEC2HEX(I413,1),DEC2HEX(H413,5)))</f>
        <v>9003</v>
      </c>
      <c r="K413" s="99">
        <v>0</v>
      </c>
      <c r="L413" s="99">
        <f>IF(I413=6,(LEN(K413)+1)*8,IF(I413=7,(1 + HEX2DEC(MID(K413,3,FIND(",",K413)-3)))*8,IF(I413=14,(LEN(K413)+1)*16,IF(I413=15,(1 + HEX2DEC(MID(K413,3,FIND(",",K413)-3)))*16,VLOOKUP(G413,m2mFormatLUT!$B$2:$D$17,3,FALSE)))))</f>
        <v>8</v>
      </c>
    </row>
    <row r="414" spans="1:14" x14ac:dyDescent="0.55000000000000004">
      <c r="A414" s="99" t="s">
        <v>821</v>
      </c>
      <c r="B414" s="105" t="s">
        <v>822</v>
      </c>
      <c r="C414" s="100" t="s">
        <v>265</v>
      </c>
      <c r="D414" s="106" t="s">
        <v>806</v>
      </c>
      <c r="E414" s="101" t="s">
        <v>1152</v>
      </c>
      <c r="F414" s="102">
        <v>0</v>
      </c>
      <c r="G414" s="100" t="s">
        <v>1168</v>
      </c>
      <c r="H414" s="99">
        <v>4</v>
      </c>
      <c r="I414" s="99">
        <f>VLOOKUP(G414,m2mFormatLUT!$B$2:$D$17,2,FALSE)</f>
        <v>9</v>
      </c>
      <c r="J414" s="99" t="str">
        <f>IF(E414=m2mFormatLUT!$A$2,CONCATENATE(DEC2HEX(I414,1),DEC2HEX(H414,3)),CONCATENATE(DEC2HEX(240,2),DEC2HEX(I414,1),DEC2HEX(H414,5)))</f>
        <v>9004</v>
      </c>
      <c r="K414" s="99">
        <v>0</v>
      </c>
      <c r="L414" s="99">
        <f>IF(I414=6,(LEN(K414)+1)*8,IF(I414=7,(1 + HEX2DEC(MID(K414,3,FIND(",",K414)-3)))*8,IF(I414=14,(LEN(K414)+1)*16,IF(I414=15,(1 + HEX2DEC(MID(K414,3,FIND(",",K414)-3)))*16,VLOOKUP(G414,m2mFormatLUT!$B$2:$D$17,3,FALSE)))))</f>
        <v>8</v>
      </c>
    </row>
    <row r="415" spans="1:14" x14ac:dyDescent="0.55000000000000004">
      <c r="A415" s="99" t="s">
        <v>1169</v>
      </c>
      <c r="B415" s="105" t="s">
        <v>1170</v>
      </c>
      <c r="C415" s="100" t="s">
        <v>265</v>
      </c>
      <c r="D415" s="106" t="s">
        <v>806</v>
      </c>
      <c r="E415" s="101" t="s">
        <v>1152</v>
      </c>
      <c r="F415" s="102">
        <v>0</v>
      </c>
      <c r="G415" s="100" t="s">
        <v>1168</v>
      </c>
      <c r="H415" s="99">
        <v>5</v>
      </c>
      <c r="I415" s="99">
        <f>VLOOKUP(G415,m2mFormatLUT!$B$2:$D$17,2,FALSE)</f>
        <v>9</v>
      </c>
      <c r="J415" s="99" t="str">
        <f>IF(E415=m2mFormatLUT!$A$2,CONCATENATE(DEC2HEX(I415,1),DEC2HEX(H415,3)),CONCATENATE(DEC2HEX(240,2),DEC2HEX(I415,1),DEC2HEX(H415,5)))</f>
        <v>9005</v>
      </c>
      <c r="K415" s="99">
        <v>0</v>
      </c>
      <c r="L415" s="99">
        <f>IF(I415=6,(LEN(K415)+1)*8,IF(I415=7,(1 + HEX2DEC(MID(K415,3,FIND(",",K415)-3)))*8,IF(I415=14,(LEN(K415)+1)*16,IF(I415=15,(1 + HEX2DEC(MID(K415,3,FIND(",",K415)-3)))*16,VLOOKUP(G415,m2mFormatLUT!$B$2:$D$17,3,FALSE)))))</f>
        <v>8</v>
      </c>
    </row>
    <row r="416" spans="1:14" x14ac:dyDescent="0.55000000000000004">
      <c r="A416" s="99" t="s">
        <v>1171</v>
      </c>
      <c r="B416" s="105" t="s">
        <v>1172</v>
      </c>
      <c r="C416" s="100" t="s">
        <v>265</v>
      </c>
      <c r="D416" s="106" t="s">
        <v>806</v>
      </c>
      <c r="E416" s="101" t="s">
        <v>1152</v>
      </c>
      <c r="F416" s="102">
        <v>0</v>
      </c>
      <c r="G416" s="100" t="s">
        <v>1168</v>
      </c>
      <c r="H416" s="99">
        <v>6</v>
      </c>
      <c r="I416" s="99">
        <f>VLOOKUP(G416,m2mFormatLUT!$B$2:$D$17,2,FALSE)</f>
        <v>9</v>
      </c>
      <c r="J416" s="99" t="str">
        <f>IF(E416=m2mFormatLUT!$A$2,CONCATENATE(DEC2HEX(I416,1),DEC2HEX(H416,3)),CONCATENATE(DEC2HEX(240,2),DEC2HEX(I416,1),DEC2HEX(H416,5)))</f>
        <v>9006</v>
      </c>
      <c r="K416" s="99">
        <v>0</v>
      </c>
      <c r="L416" s="99">
        <f>IF(I416=6,(LEN(K416)+1)*8,IF(I416=7,(1 + HEX2DEC(MID(K416,3,FIND(",",K416)-3)))*8,IF(I416=14,(LEN(K416)+1)*16,IF(I416=15,(1 + HEX2DEC(MID(K416,3,FIND(",",K416)-3)))*16,VLOOKUP(G416,m2mFormatLUT!$B$2:$D$17,3,FALSE)))))</f>
        <v>8</v>
      </c>
    </row>
    <row r="417" spans="1:12" x14ac:dyDescent="0.55000000000000004">
      <c r="A417" s="99" t="s">
        <v>1173</v>
      </c>
      <c r="B417" s="105" t="s">
        <v>1174</v>
      </c>
      <c r="C417" s="100" t="s">
        <v>265</v>
      </c>
      <c r="D417" s="106" t="s">
        <v>806</v>
      </c>
      <c r="E417" s="101" t="s">
        <v>1152</v>
      </c>
      <c r="F417" s="102">
        <v>0</v>
      </c>
      <c r="G417" s="100" t="s">
        <v>1168</v>
      </c>
      <c r="H417" s="99">
        <v>7</v>
      </c>
      <c r="I417" s="99">
        <f>VLOOKUP(G417,m2mFormatLUT!$B$2:$D$17,2,FALSE)</f>
        <v>9</v>
      </c>
      <c r="J417" s="99" t="str">
        <f>IF(E417=m2mFormatLUT!$A$2,CONCATENATE(DEC2HEX(I417,1),DEC2HEX(H417,3)),CONCATENATE(DEC2HEX(240,2),DEC2HEX(I417,1),DEC2HEX(H417,5)))</f>
        <v>9007</v>
      </c>
      <c r="K417" s="99">
        <v>0</v>
      </c>
      <c r="L417" s="99">
        <f>IF(I417=6,(LEN(K417)+1)*8,IF(I417=7,(1 + HEX2DEC(MID(K417,3,FIND(",",K417)-3)))*8,IF(I417=14,(LEN(K417)+1)*16,IF(I417=15,(1 + HEX2DEC(MID(K417,3,FIND(",",K417)-3)))*16,VLOOKUP(G417,m2mFormatLUT!$B$2:$D$17,3,FALSE)))))</f>
        <v>8</v>
      </c>
    </row>
    <row r="418" spans="1:12" x14ac:dyDescent="0.55000000000000004">
      <c r="A418" s="99" t="s">
        <v>1175</v>
      </c>
      <c r="B418" s="105" t="s">
        <v>1176</v>
      </c>
      <c r="C418" s="100" t="s">
        <v>265</v>
      </c>
      <c r="D418" s="106" t="s">
        <v>806</v>
      </c>
      <c r="E418" s="101" t="s">
        <v>1152</v>
      </c>
      <c r="F418" s="102">
        <v>0</v>
      </c>
      <c r="G418" s="100" t="s">
        <v>1168</v>
      </c>
      <c r="H418" s="99">
        <v>8</v>
      </c>
      <c r="I418" s="99">
        <f>VLOOKUP(G418,m2mFormatLUT!$B$2:$D$17,2,FALSE)</f>
        <v>9</v>
      </c>
      <c r="J418" s="99" t="str">
        <f>IF(E418=m2mFormatLUT!$A$2,CONCATENATE(DEC2HEX(I418,1),DEC2HEX(H418,3)),CONCATENATE(DEC2HEX(240,2),DEC2HEX(I418,1),DEC2HEX(H418,5)))</f>
        <v>9008</v>
      </c>
      <c r="K418" s="99">
        <v>0</v>
      </c>
      <c r="L418" s="99">
        <f>IF(I418=6,(LEN(K418)+1)*8,IF(I418=7,(1 + HEX2DEC(MID(K418,3,FIND(",",K418)-3)))*8,IF(I418=14,(LEN(K418)+1)*16,IF(I418=15,(1 + HEX2DEC(MID(K418,3,FIND(",",K418)-3)))*16,VLOOKUP(G418,m2mFormatLUT!$B$2:$D$17,3,FALSE)))))</f>
        <v>8</v>
      </c>
    </row>
    <row r="419" spans="1:12" x14ac:dyDescent="0.55000000000000004">
      <c r="A419" s="99" t="s">
        <v>1098</v>
      </c>
      <c r="B419" s="105" t="s">
        <v>1099</v>
      </c>
      <c r="C419" s="100" t="s">
        <v>265</v>
      </c>
      <c r="D419" s="106" t="s">
        <v>625</v>
      </c>
      <c r="E419" s="101" t="s">
        <v>1152</v>
      </c>
      <c r="F419" s="102">
        <v>0</v>
      </c>
      <c r="G419" s="100" t="s">
        <v>1168</v>
      </c>
      <c r="H419" s="99">
        <v>9</v>
      </c>
      <c r="I419" s="99">
        <f>VLOOKUP(G419,m2mFormatLUT!$B$2:$D$17,2,FALSE)</f>
        <v>9</v>
      </c>
      <c r="J419" s="99" t="str">
        <f>IF(E419=m2mFormatLUT!$A$2,CONCATENATE(DEC2HEX(I419,1),DEC2HEX(H419,3)),CONCATENATE(DEC2HEX(240,2),DEC2HEX(I419,1),DEC2HEX(H419,5)))</f>
        <v>9009</v>
      </c>
      <c r="K419" s="99">
        <v>0</v>
      </c>
      <c r="L419" s="99">
        <f>IF(I419=6,(LEN(K419)+1)*8,IF(I419=7,(1 + HEX2DEC(MID(K419,3,FIND(",",K419)-3)))*8,IF(I419=14,(LEN(K419)+1)*16,IF(I419=15,(1 + HEX2DEC(MID(K419,3,FIND(",",K419)-3)))*16,VLOOKUP(G419,m2mFormatLUT!$B$2:$D$17,3,FALSE)))))</f>
        <v>8</v>
      </c>
    </row>
    <row r="420" spans="1:12" x14ac:dyDescent="0.55000000000000004">
      <c r="A420" s="99" t="s">
        <v>1100</v>
      </c>
      <c r="B420" s="105" t="s">
        <v>1101</v>
      </c>
      <c r="C420" s="100" t="s">
        <v>265</v>
      </c>
      <c r="D420" s="106" t="s">
        <v>625</v>
      </c>
      <c r="E420" s="101" t="s">
        <v>1152</v>
      </c>
      <c r="F420" s="102">
        <v>0</v>
      </c>
      <c r="G420" s="100" t="s">
        <v>1168</v>
      </c>
      <c r="H420" s="99">
        <v>10</v>
      </c>
      <c r="I420" s="99">
        <f>VLOOKUP(G420,m2mFormatLUT!$B$2:$D$17,2,FALSE)</f>
        <v>9</v>
      </c>
      <c r="J420" s="99" t="str">
        <f>IF(E420=m2mFormatLUT!$A$2,CONCATENATE(DEC2HEX(I420,1),DEC2HEX(H420,3)),CONCATENATE(DEC2HEX(240,2),DEC2HEX(I420,1),DEC2HEX(H420,5)))</f>
        <v>900A</v>
      </c>
      <c r="K420" s="99">
        <v>0</v>
      </c>
      <c r="L420" s="99">
        <f>IF(I420=6,(LEN(K420)+1)*8,IF(I420=7,(1 + HEX2DEC(MID(K420,3,FIND(",",K420)-3)))*8,IF(I420=14,(LEN(K420)+1)*16,IF(I420=15,(1 + HEX2DEC(MID(K420,3,FIND(",",K420)-3)))*16,VLOOKUP(G420,m2mFormatLUT!$B$2:$D$17,3,FALSE)))))</f>
        <v>8</v>
      </c>
    </row>
    <row r="421" spans="1:12" x14ac:dyDescent="0.55000000000000004">
      <c r="A421" s="99" t="s">
        <v>1102</v>
      </c>
      <c r="B421" s="105" t="s">
        <v>1103</v>
      </c>
      <c r="C421" s="100" t="s">
        <v>265</v>
      </c>
      <c r="D421" s="106" t="s">
        <v>625</v>
      </c>
      <c r="E421" s="101" t="s">
        <v>1152</v>
      </c>
      <c r="F421" s="102">
        <v>0</v>
      </c>
      <c r="G421" s="100" t="s">
        <v>1168</v>
      </c>
      <c r="H421" s="99">
        <v>11</v>
      </c>
      <c r="I421" s="99">
        <f>VLOOKUP(G421,m2mFormatLUT!$B$2:$D$17,2,FALSE)</f>
        <v>9</v>
      </c>
      <c r="J421" s="99" t="str">
        <f>IF(E421=m2mFormatLUT!$A$2,CONCATENATE(DEC2HEX(I421,1),DEC2HEX(H421,3)),CONCATENATE(DEC2HEX(240,2),DEC2HEX(I421,1),DEC2HEX(H421,5)))</f>
        <v>900B</v>
      </c>
      <c r="K421" s="99">
        <v>0</v>
      </c>
      <c r="L421" s="99">
        <f>IF(I421=6,(LEN(K421)+1)*8,IF(I421=7,(1 + HEX2DEC(MID(K421,3,FIND(",",K421)-3)))*8,IF(I421=14,(LEN(K421)+1)*16,IF(I421=15,(1 + HEX2DEC(MID(K421,3,FIND(",",K421)-3)))*16,VLOOKUP(G421,m2mFormatLUT!$B$2:$D$17,3,FALSE)))))</f>
        <v>8</v>
      </c>
    </row>
    <row r="422" spans="1:12" x14ac:dyDescent="0.55000000000000004">
      <c r="F422" s="102"/>
    </row>
    <row r="423" spans="1:12" x14ac:dyDescent="0.55000000000000004">
      <c r="F423" s="102"/>
    </row>
    <row r="424" spans="1:12" x14ac:dyDescent="0.55000000000000004">
      <c r="F424" s="102"/>
    </row>
    <row r="425" spans="1:12" x14ac:dyDescent="0.55000000000000004">
      <c r="F425" s="102"/>
    </row>
    <row r="426" spans="1:12" x14ac:dyDescent="0.55000000000000004">
      <c r="F426" s="102"/>
    </row>
    <row r="427" spans="1:12" x14ac:dyDescent="0.55000000000000004">
      <c r="F427" s="102"/>
    </row>
    <row r="428" spans="1:12" x14ac:dyDescent="0.55000000000000004">
      <c r="F428" s="102"/>
    </row>
    <row r="429" spans="1:12" x14ac:dyDescent="0.55000000000000004">
      <c r="F429" s="102"/>
    </row>
    <row r="430" spans="1:12" x14ac:dyDescent="0.55000000000000004">
      <c r="F430" s="102"/>
    </row>
    <row r="431" spans="1:12" x14ac:dyDescent="0.55000000000000004">
      <c r="F431" s="102"/>
    </row>
    <row r="432" spans="1:12" x14ac:dyDescent="0.55000000000000004">
      <c r="F432" s="102"/>
    </row>
    <row r="433" spans="6:6" x14ac:dyDescent="0.55000000000000004">
      <c r="F433" s="102"/>
    </row>
    <row r="434" spans="6:6" x14ac:dyDescent="0.55000000000000004">
      <c r="F434" s="102"/>
    </row>
    <row r="435" spans="6:6" x14ac:dyDescent="0.55000000000000004">
      <c r="F435" s="102"/>
    </row>
    <row r="436" spans="6:6" x14ac:dyDescent="0.55000000000000004">
      <c r="F436" s="102"/>
    </row>
    <row r="437" spans="6:6" x14ac:dyDescent="0.55000000000000004">
      <c r="F437" s="102"/>
    </row>
    <row r="438" spans="6:6" x14ac:dyDescent="0.55000000000000004">
      <c r="F438" s="102"/>
    </row>
    <row r="439" spans="6:6" x14ac:dyDescent="0.55000000000000004">
      <c r="F439" s="102"/>
    </row>
    <row r="440" spans="6:6" x14ac:dyDescent="0.55000000000000004">
      <c r="F440" s="102"/>
    </row>
    <row r="441" spans="6:6" x14ac:dyDescent="0.55000000000000004">
      <c r="F441" s="102"/>
    </row>
    <row r="442" spans="6:6" x14ac:dyDescent="0.55000000000000004">
      <c r="F442" s="102"/>
    </row>
    <row r="443" spans="6:6" x14ac:dyDescent="0.55000000000000004">
      <c r="F443" s="102"/>
    </row>
    <row r="444" spans="6:6" x14ac:dyDescent="0.55000000000000004">
      <c r="F444" s="102"/>
    </row>
    <row r="445" spans="6:6" x14ac:dyDescent="0.55000000000000004">
      <c r="F445" s="102"/>
    </row>
    <row r="446" spans="6:6" x14ac:dyDescent="0.55000000000000004">
      <c r="F446" s="102"/>
    </row>
    <row r="447" spans="6:6" x14ac:dyDescent="0.55000000000000004">
      <c r="F447" s="102"/>
    </row>
    <row r="448" spans="6:6" x14ac:dyDescent="0.55000000000000004">
      <c r="F448" s="102"/>
    </row>
    <row r="449" spans="6:6" x14ac:dyDescent="0.55000000000000004">
      <c r="F449" s="102"/>
    </row>
    <row r="450" spans="6:6" x14ac:dyDescent="0.55000000000000004">
      <c r="F450" s="102"/>
    </row>
    <row r="451" spans="6:6" x14ac:dyDescent="0.55000000000000004">
      <c r="F451" s="102"/>
    </row>
    <row r="452" spans="6:6" x14ac:dyDescent="0.55000000000000004">
      <c r="F452" s="102"/>
    </row>
    <row r="453" spans="6:6" x14ac:dyDescent="0.55000000000000004">
      <c r="F453" s="102"/>
    </row>
    <row r="454" spans="6:6" x14ac:dyDescent="0.55000000000000004">
      <c r="F454" s="102"/>
    </row>
    <row r="455" spans="6:6" x14ac:dyDescent="0.55000000000000004">
      <c r="F455" s="102"/>
    </row>
    <row r="456" spans="6:6" x14ac:dyDescent="0.55000000000000004">
      <c r="F456" s="102"/>
    </row>
    <row r="457" spans="6:6" x14ac:dyDescent="0.55000000000000004">
      <c r="F457" s="102"/>
    </row>
  </sheetData>
  <dataValidations count="1">
    <dataValidation type="whole" showInputMessage="1" showErrorMessage="1" sqref="F2:F457">
      <formula1>0</formula1>
      <formula2>7</formula2>
    </dataValidation>
  </dataValidations>
  <pageMargins left="0.7" right="0.7" top="0.75" bottom="0.75" header="0.3" footer="0.3"/>
  <pageSetup orientation="portrait" verticalDpi="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7"/>
  <sheetViews>
    <sheetView topLeftCell="A4" workbookViewId="0">
      <selection activeCell="B23" sqref="B23"/>
    </sheetView>
  </sheetViews>
  <sheetFormatPr defaultRowHeight="14.4" x14ac:dyDescent="0.55000000000000004"/>
  <cols>
    <col min="2" max="2" width="41.83984375" style="27" bestFit="1" customWidth="1"/>
  </cols>
  <sheetData>
    <row r="1" spans="1:4" x14ac:dyDescent="0.55000000000000004">
      <c r="A1" t="s">
        <v>1177</v>
      </c>
      <c r="B1" t="s">
        <v>1178</v>
      </c>
      <c r="C1" t="s">
        <v>1179</v>
      </c>
      <c r="D1" t="s">
        <v>1180</v>
      </c>
    </row>
    <row r="2" spans="1:4" x14ac:dyDescent="0.55000000000000004">
      <c r="A2" t="s">
        <v>1152</v>
      </c>
      <c r="B2" t="s">
        <v>1153</v>
      </c>
      <c r="C2" s="110">
        <v>0</v>
      </c>
      <c r="D2">
        <v>1</v>
      </c>
    </row>
    <row r="3" spans="1:4" x14ac:dyDescent="0.55000000000000004">
      <c r="A3" t="s">
        <v>1181</v>
      </c>
      <c r="B3" t="s">
        <v>1161</v>
      </c>
      <c r="C3" s="110">
        <v>1</v>
      </c>
      <c r="D3">
        <v>8</v>
      </c>
    </row>
    <row r="4" spans="1:4" x14ac:dyDescent="0.55000000000000004">
      <c r="B4" t="s">
        <v>1163</v>
      </c>
      <c r="C4" s="110">
        <v>2</v>
      </c>
      <c r="D4">
        <v>16</v>
      </c>
    </row>
    <row r="5" spans="1:4" x14ac:dyDescent="0.55000000000000004">
      <c r="B5" t="s">
        <v>1164</v>
      </c>
      <c r="C5" s="110">
        <v>3</v>
      </c>
      <c r="D5">
        <v>16</v>
      </c>
    </row>
    <row r="6" spans="1:4" x14ac:dyDescent="0.55000000000000004">
      <c r="B6" t="s">
        <v>1165</v>
      </c>
      <c r="C6" s="110">
        <v>4</v>
      </c>
      <c r="D6">
        <v>32</v>
      </c>
    </row>
    <row r="7" spans="1:4" x14ac:dyDescent="0.55000000000000004">
      <c r="B7" t="s">
        <v>1182</v>
      </c>
      <c r="C7" s="110">
        <v>5</v>
      </c>
      <c r="D7">
        <v>32</v>
      </c>
    </row>
    <row r="8" spans="1:4" x14ac:dyDescent="0.55000000000000004">
      <c r="B8" t="s">
        <v>1183</v>
      </c>
      <c r="C8" s="110">
        <v>6</v>
      </c>
      <c r="D8" t="s">
        <v>1184</v>
      </c>
    </row>
    <row r="9" spans="1:4" x14ac:dyDescent="0.55000000000000004">
      <c r="B9" t="s">
        <v>1166</v>
      </c>
      <c r="C9" s="110">
        <v>7</v>
      </c>
      <c r="D9" t="s">
        <v>1184</v>
      </c>
    </row>
    <row r="10" spans="1:4" x14ac:dyDescent="0.55000000000000004">
      <c r="B10" t="s">
        <v>1185</v>
      </c>
      <c r="C10" s="110">
        <v>8</v>
      </c>
      <c r="D10">
        <v>1</v>
      </c>
    </row>
    <row r="11" spans="1:4" x14ac:dyDescent="0.55000000000000004">
      <c r="B11" t="s">
        <v>1168</v>
      </c>
      <c r="C11" s="110">
        <v>9</v>
      </c>
      <c r="D11">
        <v>8</v>
      </c>
    </row>
    <row r="12" spans="1:4" x14ac:dyDescent="0.55000000000000004">
      <c r="B12" t="s">
        <v>1186</v>
      </c>
      <c r="C12" s="110">
        <v>10</v>
      </c>
      <c r="D12">
        <v>16</v>
      </c>
    </row>
    <row r="13" spans="1:4" x14ac:dyDescent="0.55000000000000004">
      <c r="B13" t="s">
        <v>1187</v>
      </c>
      <c r="C13" s="110">
        <v>11</v>
      </c>
      <c r="D13">
        <v>16</v>
      </c>
    </row>
    <row r="14" spans="1:4" x14ac:dyDescent="0.55000000000000004">
      <c r="B14" t="s">
        <v>1188</v>
      </c>
      <c r="C14" s="110">
        <v>12</v>
      </c>
      <c r="D14">
        <v>32</v>
      </c>
    </row>
    <row r="15" spans="1:4" x14ac:dyDescent="0.55000000000000004">
      <c r="B15" t="s">
        <v>1189</v>
      </c>
      <c r="C15" s="110">
        <v>13</v>
      </c>
      <c r="D15">
        <v>32</v>
      </c>
    </row>
    <row r="16" spans="1:4" x14ac:dyDescent="0.55000000000000004">
      <c r="B16" t="s">
        <v>1190</v>
      </c>
      <c r="C16" s="110">
        <v>14</v>
      </c>
      <c r="D16" t="s">
        <v>1184</v>
      </c>
    </row>
    <row r="17" spans="2:4" x14ac:dyDescent="0.55000000000000004">
      <c r="B17" t="s">
        <v>1191</v>
      </c>
      <c r="C17" s="110">
        <v>15</v>
      </c>
      <c r="D17" t="s">
        <v>1184</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H257"/>
  <sheetViews>
    <sheetView topLeftCell="M1" workbookViewId="0">
      <selection activeCell="W2" sqref="W2"/>
    </sheetView>
  </sheetViews>
  <sheetFormatPr defaultRowHeight="14.4" x14ac:dyDescent="0.55000000000000004"/>
  <cols>
    <col min="1" max="2" width="14.41796875" style="27" customWidth="1"/>
    <col min="3" max="3" width="14.578125" style="27" customWidth="1"/>
    <col min="4" max="4" width="16.15625" style="27" customWidth="1"/>
    <col min="5" max="5" width="13.15625" style="27" customWidth="1"/>
    <col min="6" max="6" width="17" style="27" customWidth="1"/>
    <col min="7" max="7" width="18.41796875" style="27" customWidth="1"/>
    <col min="8" max="8" width="32.41796875" style="27" customWidth="1"/>
    <col min="10" max="10" width="17.578125" style="27" customWidth="1"/>
    <col min="12" max="12" width="15.15625" style="27" customWidth="1"/>
    <col min="13" max="13" width="15.83984375" style="27" customWidth="1"/>
    <col min="14" max="14" width="11.41796875" style="27" customWidth="1"/>
    <col min="16" max="16" width="11.26171875" style="27" customWidth="1"/>
    <col min="17" max="17" width="14.26171875" style="27" customWidth="1"/>
    <col min="19" max="19" width="12.68359375" style="27" customWidth="1"/>
    <col min="20" max="20" width="17.83984375" style="27" customWidth="1"/>
    <col min="21" max="21" width="16.68359375" style="27" bestFit="1" customWidth="1"/>
  </cols>
  <sheetData>
    <row r="1" spans="1:34" ht="15" customHeight="1" thickTop="1" thickBot="1" x14ac:dyDescent="0.6">
      <c r="A1" s="16" t="s">
        <v>1192</v>
      </c>
      <c r="B1" s="16" t="s">
        <v>1193</v>
      </c>
      <c r="C1" s="16" t="s">
        <v>1194</v>
      </c>
      <c r="D1" s="16" t="s">
        <v>1195</v>
      </c>
      <c r="E1" s="16" t="s">
        <v>80</v>
      </c>
      <c r="F1" s="16" t="s">
        <v>70</v>
      </c>
      <c r="G1" s="16" t="s">
        <v>238</v>
      </c>
      <c r="H1" s="16" t="s">
        <v>1196</v>
      </c>
      <c r="I1" s="16" t="s">
        <v>1197</v>
      </c>
      <c r="J1" s="16" t="s">
        <v>68</v>
      </c>
      <c r="K1" s="16" t="s">
        <v>1198</v>
      </c>
      <c r="L1" s="16" t="s">
        <v>1199</v>
      </c>
      <c r="M1" s="16" t="s">
        <v>1200</v>
      </c>
      <c r="N1" s="16" t="s">
        <v>192</v>
      </c>
      <c r="O1" s="17" t="s">
        <v>1201</v>
      </c>
      <c r="P1" s="59" t="s">
        <v>1202</v>
      </c>
      <c r="Q1" s="59" t="s">
        <v>1203</v>
      </c>
      <c r="R1" s="59" t="s">
        <v>1204</v>
      </c>
      <c r="S1" s="59" t="s">
        <v>1205</v>
      </c>
      <c r="T1" s="59" t="s">
        <v>1206</v>
      </c>
      <c r="U1" s="59" t="s">
        <v>1207</v>
      </c>
      <c r="V1" s="59" t="s">
        <v>169</v>
      </c>
      <c r="W1" s="59" t="s">
        <v>1208</v>
      </c>
      <c r="X1" s="59" t="s">
        <v>74</v>
      </c>
      <c r="Y1" s="59" t="s">
        <v>168</v>
      </c>
      <c r="Z1" s="59" t="s">
        <v>175</v>
      </c>
      <c r="AA1" s="59" t="s">
        <v>1209</v>
      </c>
      <c r="AB1" s="59" t="s">
        <v>184</v>
      </c>
      <c r="AC1" s="59" t="s">
        <v>175</v>
      </c>
      <c r="AD1" s="59" t="s">
        <v>1209</v>
      </c>
      <c r="AE1" s="59" t="s">
        <v>184</v>
      </c>
      <c r="AF1" s="59" t="s">
        <v>1210</v>
      </c>
      <c r="AG1" s="59" t="s">
        <v>1211</v>
      </c>
    </row>
    <row r="2" spans="1:34" ht="15" customHeight="1" thickTop="1" thickBot="1" x14ac:dyDescent="0.6">
      <c r="A2" s="16"/>
      <c r="B2" s="16"/>
      <c r="C2" s="16"/>
      <c r="D2" s="16" t="s">
        <v>245</v>
      </c>
      <c r="E2" s="16"/>
      <c r="F2" s="16"/>
      <c r="G2" s="16" t="s">
        <v>245</v>
      </c>
      <c r="H2" s="16"/>
      <c r="I2" s="16">
        <v>1980</v>
      </c>
      <c r="J2" s="16" t="s">
        <v>5</v>
      </c>
      <c r="K2" s="16">
        <f>vehicleYear</f>
        <v>2019</v>
      </c>
      <c r="L2" s="16" t="s">
        <v>85</v>
      </c>
      <c r="M2" s="16" t="s">
        <v>245</v>
      </c>
      <c r="N2" s="16" t="s">
        <v>195</v>
      </c>
      <c r="O2" s="17" t="s">
        <v>245</v>
      </c>
      <c r="P2" s="59" t="s">
        <v>17</v>
      </c>
      <c r="Q2" s="16" t="s">
        <v>1212</v>
      </c>
      <c r="R2" s="16">
        <v>0</v>
      </c>
      <c r="S2" s="59" t="s">
        <v>265</v>
      </c>
      <c r="T2" t="s">
        <v>1213</v>
      </c>
      <c r="U2" t="s">
        <v>1214</v>
      </c>
      <c r="V2" s="73" t="s">
        <v>265</v>
      </c>
      <c r="W2" s="73" t="s">
        <v>175</v>
      </c>
      <c r="X2" t="s">
        <v>176</v>
      </c>
      <c r="Y2">
        <v>-30</v>
      </c>
      <c r="Z2" t="s">
        <v>176</v>
      </c>
      <c r="AA2" t="s">
        <v>176</v>
      </c>
      <c r="AC2">
        <v>-30</v>
      </c>
      <c r="AD2">
        <v>-30</v>
      </c>
      <c r="AF2" s="111" t="s">
        <v>1215</v>
      </c>
      <c r="AG2" s="112" t="str">
        <f t="shared" ref="AG2:AG65" si="0">CONCATENATE("18DA",DEC2HEX(AH2,2),"F1")</f>
        <v>18DA00F1</v>
      </c>
      <c r="AH2">
        <v>0</v>
      </c>
    </row>
    <row r="3" spans="1:34" ht="15" customHeight="1" thickTop="1" thickBot="1" x14ac:dyDescent="0.6">
      <c r="A3" s="17" t="s">
        <v>1216</v>
      </c>
      <c r="B3" s="17" t="s">
        <v>1217</v>
      </c>
      <c r="C3" s="17" t="s">
        <v>1218</v>
      </c>
      <c r="D3" s="17">
        <v>20000</v>
      </c>
      <c r="E3" s="17" t="s">
        <v>1219</v>
      </c>
      <c r="F3" s="17">
        <v>0</v>
      </c>
      <c r="G3" s="17" t="s">
        <v>265</v>
      </c>
      <c r="H3" s="17" t="s">
        <v>1217</v>
      </c>
      <c r="I3" s="16">
        <v>1981</v>
      </c>
      <c r="J3" s="17" t="s">
        <v>7</v>
      </c>
      <c r="K3" s="17"/>
      <c r="L3" s="21" t="s">
        <v>1220</v>
      </c>
      <c r="M3" s="17"/>
      <c r="N3" s="16" t="s">
        <v>212</v>
      </c>
      <c r="O3" s="17" t="s">
        <v>257</v>
      </c>
      <c r="P3" s="60" t="s">
        <v>1221</v>
      </c>
      <c r="Q3" s="16" t="s">
        <v>1222</v>
      </c>
      <c r="R3" s="16">
        <v>1</v>
      </c>
      <c r="S3" s="59" t="s">
        <v>104</v>
      </c>
      <c r="T3" t="s">
        <v>1223</v>
      </c>
      <c r="U3" t="s">
        <v>1224</v>
      </c>
      <c r="W3" s="74" t="s">
        <v>184</v>
      </c>
      <c r="X3" t="s">
        <v>1225</v>
      </c>
      <c r="Y3">
        <v>10000000</v>
      </c>
      <c r="Z3" t="s">
        <v>1225</v>
      </c>
      <c r="AA3" t="s">
        <v>1225</v>
      </c>
      <c r="AC3">
        <v>10000000</v>
      </c>
      <c r="AD3">
        <v>10000000</v>
      </c>
      <c r="AF3" s="111" t="s">
        <v>1226</v>
      </c>
      <c r="AG3" s="112" t="str">
        <f t="shared" si="0"/>
        <v>18DA01F1</v>
      </c>
      <c r="AH3">
        <v>1</v>
      </c>
    </row>
    <row r="4" spans="1:34" ht="15" customHeight="1" thickTop="1" thickBot="1" x14ac:dyDescent="0.6">
      <c r="A4" s="17" t="s">
        <v>15</v>
      </c>
      <c r="B4" s="17" t="s">
        <v>1227</v>
      </c>
      <c r="C4" s="17" t="s">
        <v>16</v>
      </c>
      <c r="D4" s="17">
        <v>33333</v>
      </c>
      <c r="E4" s="17" t="s">
        <v>1228</v>
      </c>
      <c r="F4" s="17">
        <v>1</v>
      </c>
      <c r="G4" s="17" t="s">
        <v>104</v>
      </c>
      <c r="H4" s="17" t="s">
        <v>1229</v>
      </c>
      <c r="I4" s="16">
        <v>1982</v>
      </c>
      <c r="J4" s="17" t="s">
        <v>245</v>
      </c>
      <c r="K4" s="17"/>
      <c r="L4" s="22" t="s">
        <v>1230</v>
      </c>
      <c r="M4" s="17"/>
      <c r="O4" s="17" t="s">
        <v>242</v>
      </c>
      <c r="Q4" s="16" t="s">
        <v>1231</v>
      </c>
      <c r="R4" s="16">
        <v>2</v>
      </c>
      <c r="T4" t="s">
        <v>1232</v>
      </c>
      <c r="U4" t="s">
        <v>1233</v>
      </c>
      <c r="W4" s="74" t="s">
        <v>1209</v>
      </c>
      <c r="X4" t="s">
        <v>1234</v>
      </c>
      <c r="Z4" t="s">
        <v>1234</v>
      </c>
      <c r="AA4" t="s">
        <v>1234</v>
      </c>
      <c r="AF4" s="111" t="s">
        <v>1235</v>
      </c>
      <c r="AG4" s="112" t="str">
        <f t="shared" si="0"/>
        <v>18DA02F1</v>
      </c>
      <c r="AH4">
        <v>2</v>
      </c>
    </row>
    <row r="5" spans="1:34" ht="15" customHeight="1" thickTop="1" thickBot="1" x14ac:dyDescent="0.6">
      <c r="A5" s="17"/>
      <c r="B5" s="17"/>
      <c r="C5" s="17"/>
      <c r="D5" s="17">
        <v>50000</v>
      </c>
      <c r="E5" s="18" t="s">
        <v>1236</v>
      </c>
      <c r="F5" s="17">
        <v>2</v>
      </c>
      <c r="G5" s="17"/>
      <c r="H5" s="17"/>
      <c r="I5" s="16">
        <v>1983</v>
      </c>
      <c r="J5" s="17"/>
      <c r="K5" s="17"/>
      <c r="L5" s="17"/>
      <c r="M5" s="17"/>
      <c r="O5" s="17" t="s">
        <v>264</v>
      </c>
      <c r="Q5" s="16" t="s">
        <v>1237</v>
      </c>
      <c r="R5" s="16">
        <v>3</v>
      </c>
      <c r="U5" t="s">
        <v>1238</v>
      </c>
      <c r="X5" t="s">
        <v>1239</v>
      </c>
      <c r="Z5" t="s">
        <v>1239</v>
      </c>
      <c r="AA5" t="s">
        <v>1239</v>
      </c>
      <c r="AF5" s="111" t="s">
        <v>1240</v>
      </c>
      <c r="AG5" s="112" t="str">
        <f t="shared" si="0"/>
        <v>18DA03F1</v>
      </c>
      <c r="AH5">
        <v>3</v>
      </c>
    </row>
    <row r="6" spans="1:34" ht="15" customHeight="1" thickTop="1" thickBot="1" x14ac:dyDescent="0.6">
      <c r="A6" s="17"/>
      <c r="B6" s="17"/>
      <c r="C6" s="17"/>
      <c r="D6" s="17">
        <v>62500</v>
      </c>
      <c r="E6" s="17" t="s">
        <v>1241</v>
      </c>
      <c r="F6" s="17">
        <v>3</v>
      </c>
      <c r="G6" s="17"/>
      <c r="H6" s="17"/>
      <c r="I6" s="16">
        <v>1984</v>
      </c>
      <c r="J6" s="17"/>
      <c r="K6" s="17"/>
      <c r="L6" s="17"/>
      <c r="M6" s="17"/>
      <c r="Q6" s="16" t="s">
        <v>1242</v>
      </c>
      <c r="R6" s="16">
        <v>4</v>
      </c>
      <c r="AF6" s="111" t="s">
        <v>1243</v>
      </c>
      <c r="AG6" s="112" t="str">
        <f t="shared" si="0"/>
        <v>18DA04F1</v>
      </c>
      <c r="AH6">
        <v>4</v>
      </c>
    </row>
    <row r="7" spans="1:34" ht="15" customHeight="1" thickTop="1" thickBot="1" x14ac:dyDescent="0.6">
      <c r="A7" s="17"/>
      <c r="B7" s="17"/>
      <c r="C7" s="17"/>
      <c r="D7" s="17">
        <v>83333</v>
      </c>
      <c r="E7" s="17" t="s">
        <v>1244</v>
      </c>
      <c r="F7" s="17">
        <v>4</v>
      </c>
      <c r="G7" s="17"/>
      <c r="H7" s="17"/>
      <c r="I7" s="16">
        <v>1985</v>
      </c>
      <c r="J7" s="17"/>
      <c r="K7" s="17"/>
      <c r="L7" s="17"/>
      <c r="M7" s="17"/>
      <c r="Q7" s="16" t="s">
        <v>19</v>
      </c>
      <c r="R7" s="16">
        <v>5</v>
      </c>
      <c r="AF7" s="111" t="s">
        <v>1245</v>
      </c>
      <c r="AG7" s="112" t="str">
        <f t="shared" si="0"/>
        <v>18DA05F1</v>
      </c>
      <c r="AH7">
        <v>5</v>
      </c>
    </row>
    <row r="8" spans="1:34" ht="15" customHeight="1" thickTop="1" thickBot="1" x14ac:dyDescent="0.6">
      <c r="A8" s="17"/>
      <c r="B8" s="17"/>
      <c r="C8" s="17"/>
      <c r="D8" s="17">
        <v>100000</v>
      </c>
      <c r="E8" s="17" t="s">
        <v>1246</v>
      </c>
      <c r="F8" s="17">
        <v>5</v>
      </c>
      <c r="G8" s="17"/>
      <c r="H8" s="17"/>
      <c r="I8" s="16">
        <v>1986</v>
      </c>
      <c r="J8" s="17"/>
      <c r="K8" s="17"/>
      <c r="L8" s="17"/>
      <c r="M8" s="17"/>
      <c r="Q8" s="16" t="s">
        <v>1247</v>
      </c>
      <c r="AF8" s="111" t="s">
        <v>1248</v>
      </c>
      <c r="AG8" s="112" t="str">
        <f t="shared" si="0"/>
        <v>18DA06F1</v>
      </c>
      <c r="AH8">
        <v>6</v>
      </c>
    </row>
    <row r="9" spans="1:34" ht="15" customHeight="1" thickTop="1" thickBot="1" x14ac:dyDescent="0.6">
      <c r="A9" s="17"/>
      <c r="B9" s="17"/>
      <c r="C9" s="17"/>
      <c r="D9" s="17">
        <v>125000</v>
      </c>
      <c r="E9" s="17" t="s">
        <v>1249</v>
      </c>
      <c r="F9" s="17">
        <v>6</v>
      </c>
      <c r="G9" s="17"/>
      <c r="H9" s="17"/>
      <c r="I9" s="16">
        <v>1987</v>
      </c>
      <c r="J9" s="17"/>
      <c r="K9" s="17"/>
      <c r="L9" s="17"/>
      <c r="M9" s="17"/>
      <c r="AF9" s="111" t="s">
        <v>1250</v>
      </c>
      <c r="AG9" s="112" t="str">
        <f t="shared" si="0"/>
        <v>18DA07F1</v>
      </c>
      <c r="AH9">
        <v>7</v>
      </c>
    </row>
    <row r="10" spans="1:34" ht="15" customHeight="1" thickTop="1" thickBot="1" x14ac:dyDescent="0.6">
      <c r="A10" s="17"/>
      <c r="B10" s="17"/>
      <c r="C10" s="17"/>
      <c r="D10" s="17">
        <v>250000</v>
      </c>
      <c r="E10" s="17" t="s">
        <v>1251</v>
      </c>
      <c r="F10" s="17">
        <v>7</v>
      </c>
      <c r="G10" s="17"/>
      <c r="H10" s="17"/>
      <c r="I10" s="16">
        <v>1988</v>
      </c>
      <c r="J10" s="17"/>
      <c r="K10" s="17"/>
      <c r="L10" s="17"/>
      <c r="M10" s="17"/>
      <c r="AG10" s="112" t="str">
        <f t="shared" si="0"/>
        <v>18DA08F1</v>
      </c>
      <c r="AH10">
        <v>8</v>
      </c>
    </row>
    <row r="11" spans="1:34" ht="15" customHeight="1" thickTop="1" thickBot="1" x14ac:dyDescent="0.6">
      <c r="A11" s="17"/>
      <c r="B11" s="17"/>
      <c r="C11" s="17"/>
      <c r="D11" s="17">
        <v>500000</v>
      </c>
      <c r="E11" s="17" t="s">
        <v>1252</v>
      </c>
      <c r="F11" s="17">
        <v>8</v>
      </c>
      <c r="G11" s="17"/>
      <c r="H11" s="17"/>
      <c r="I11" s="16">
        <v>1989</v>
      </c>
      <c r="J11" s="17"/>
      <c r="K11" s="17"/>
      <c r="L11" s="17"/>
      <c r="M11" s="17"/>
      <c r="AG11" s="112" t="str">
        <f t="shared" si="0"/>
        <v>18DA09F1</v>
      </c>
      <c r="AH11">
        <v>9</v>
      </c>
    </row>
    <row r="12" spans="1:34" ht="15" customHeight="1" thickTop="1" thickBot="1" x14ac:dyDescent="0.6">
      <c r="A12" s="17"/>
      <c r="B12" s="17"/>
      <c r="C12" s="17"/>
      <c r="D12" s="17">
        <v>800000</v>
      </c>
      <c r="E12" s="17" t="s">
        <v>1253</v>
      </c>
      <c r="F12" s="17"/>
      <c r="G12" s="17"/>
      <c r="H12" s="17"/>
      <c r="I12" s="16">
        <v>1990</v>
      </c>
      <c r="J12" s="17"/>
      <c r="K12" s="17"/>
      <c r="L12" s="17"/>
      <c r="M12" s="17"/>
      <c r="AG12" s="112" t="str">
        <f t="shared" si="0"/>
        <v>18DA0AF1</v>
      </c>
      <c r="AH12">
        <v>10</v>
      </c>
    </row>
    <row r="13" spans="1:34" ht="15" customHeight="1" thickTop="1" thickBot="1" x14ac:dyDescent="0.6">
      <c r="A13" s="17"/>
      <c r="B13" s="17"/>
      <c r="C13" s="17"/>
      <c r="D13" s="17">
        <v>1000000</v>
      </c>
      <c r="E13" s="17" t="s">
        <v>1254</v>
      </c>
      <c r="F13" s="17"/>
      <c r="G13" s="17"/>
      <c r="H13" s="17"/>
      <c r="I13" s="16">
        <v>1991</v>
      </c>
      <c r="J13" s="17"/>
      <c r="K13" s="17"/>
      <c r="L13" s="17"/>
      <c r="M13" s="17"/>
      <c r="AG13" s="112" t="str">
        <f t="shared" si="0"/>
        <v>18DA0BF1</v>
      </c>
      <c r="AH13">
        <v>11</v>
      </c>
    </row>
    <row r="14" spans="1:34" ht="15" customHeight="1" thickTop="1" thickBot="1" x14ac:dyDescent="0.6">
      <c r="A14" s="17"/>
      <c r="B14" s="17"/>
      <c r="C14" s="17"/>
      <c r="D14" s="17"/>
      <c r="E14" s="17" t="s">
        <v>1255</v>
      </c>
      <c r="F14" s="17"/>
      <c r="G14" s="17"/>
      <c r="H14" s="17"/>
      <c r="I14" s="16">
        <v>1992</v>
      </c>
      <c r="J14" s="17"/>
      <c r="K14" s="17"/>
      <c r="L14" s="17"/>
      <c r="M14" s="17"/>
      <c r="AG14" s="112" t="str">
        <f t="shared" si="0"/>
        <v>18DA0CF1</v>
      </c>
      <c r="AH14">
        <v>12</v>
      </c>
    </row>
    <row r="15" spans="1:34" ht="15" customHeight="1" thickTop="1" thickBot="1" x14ac:dyDescent="0.6">
      <c r="A15" s="17"/>
      <c r="B15" s="17"/>
      <c r="C15" s="17"/>
      <c r="D15" s="17"/>
      <c r="E15" s="17" t="s">
        <v>1256</v>
      </c>
      <c r="F15" s="17"/>
      <c r="G15" s="17"/>
      <c r="H15" s="17"/>
      <c r="I15" s="16">
        <v>1993</v>
      </c>
      <c r="J15" s="17"/>
      <c r="K15" s="17"/>
      <c r="L15" s="17"/>
      <c r="M15" s="17"/>
      <c r="AG15" s="112" t="str">
        <f t="shared" si="0"/>
        <v>18DA0DF1</v>
      </c>
      <c r="AH15">
        <v>13</v>
      </c>
    </row>
    <row r="16" spans="1:34" ht="15" customHeight="1" thickTop="1" thickBot="1" x14ac:dyDescent="0.6">
      <c r="A16" s="17"/>
      <c r="B16" s="17"/>
      <c r="C16" s="17"/>
      <c r="D16" s="17"/>
      <c r="E16" s="17" t="s">
        <v>1257</v>
      </c>
      <c r="F16" s="17"/>
      <c r="G16" s="17"/>
      <c r="H16" s="17"/>
      <c r="I16" s="16">
        <v>1994</v>
      </c>
      <c r="J16" s="17"/>
      <c r="K16" s="17"/>
      <c r="L16" s="17"/>
      <c r="M16" s="17"/>
      <c r="AG16" s="112" t="str">
        <f t="shared" si="0"/>
        <v>18DA0EF1</v>
      </c>
      <c r="AH16">
        <v>14</v>
      </c>
    </row>
    <row r="17" spans="1:34" ht="15" customHeight="1" thickTop="1" thickBot="1" x14ac:dyDescent="0.6">
      <c r="A17" s="17"/>
      <c r="B17" s="17"/>
      <c r="C17" s="17"/>
      <c r="D17" s="17"/>
      <c r="E17" s="17" t="s">
        <v>1258</v>
      </c>
      <c r="F17" s="17"/>
      <c r="G17" s="17"/>
      <c r="H17" s="17"/>
      <c r="I17" s="16">
        <v>1995</v>
      </c>
      <c r="J17" s="17"/>
      <c r="K17" s="17"/>
      <c r="L17" s="17"/>
      <c r="M17" s="17"/>
      <c r="AG17" s="112" t="str">
        <f t="shared" si="0"/>
        <v>18DA0FF1</v>
      </c>
      <c r="AH17">
        <v>15</v>
      </c>
    </row>
    <row r="18" spans="1:34" ht="15" customHeight="1" thickTop="1" thickBot="1" x14ac:dyDescent="0.6">
      <c r="A18" s="17"/>
      <c r="B18" s="17"/>
      <c r="C18" s="17"/>
      <c r="D18" s="17"/>
      <c r="E18" s="17" t="s">
        <v>1259</v>
      </c>
      <c r="F18" s="17"/>
      <c r="G18" s="17"/>
      <c r="H18" s="17"/>
      <c r="I18" s="16">
        <v>1996</v>
      </c>
      <c r="J18" s="17"/>
      <c r="K18" s="17"/>
      <c r="L18" s="17"/>
      <c r="M18" s="17"/>
      <c r="AG18" s="112" t="str">
        <f t="shared" si="0"/>
        <v>18DA10F1</v>
      </c>
      <c r="AH18">
        <v>16</v>
      </c>
    </row>
    <row r="19" spans="1:34" ht="15" customHeight="1" thickTop="1" thickBot="1" x14ac:dyDescent="0.6">
      <c r="A19" s="17"/>
      <c r="B19" s="17"/>
      <c r="C19" s="17"/>
      <c r="D19" s="17"/>
      <c r="E19" s="17" t="s">
        <v>1260</v>
      </c>
      <c r="F19" s="17"/>
      <c r="G19" s="17"/>
      <c r="H19" s="17"/>
      <c r="I19" s="16">
        <v>1997</v>
      </c>
      <c r="J19" s="17"/>
      <c r="K19" s="17"/>
      <c r="L19" s="17"/>
      <c r="M19" s="17"/>
      <c r="AG19" s="112" t="str">
        <f t="shared" si="0"/>
        <v>18DA11F1</v>
      </c>
      <c r="AH19">
        <v>17</v>
      </c>
    </row>
    <row r="20" spans="1:34" ht="15" customHeight="1" thickTop="1" thickBot="1" x14ac:dyDescent="0.6">
      <c r="A20" s="17"/>
      <c r="B20" s="17"/>
      <c r="C20" s="17"/>
      <c r="D20" s="17"/>
      <c r="E20" s="17"/>
      <c r="F20" s="17"/>
      <c r="G20" s="17"/>
      <c r="H20" s="17"/>
      <c r="I20" s="16">
        <v>1998</v>
      </c>
      <c r="J20" s="17"/>
      <c r="K20" s="17"/>
      <c r="L20" s="17"/>
      <c r="M20" s="17"/>
      <c r="AG20" s="112" t="str">
        <f t="shared" si="0"/>
        <v>18DA12F1</v>
      </c>
      <c r="AH20">
        <v>18</v>
      </c>
    </row>
    <row r="21" spans="1:34" ht="15" customHeight="1" thickTop="1" thickBot="1" x14ac:dyDescent="0.6">
      <c r="A21" s="17"/>
      <c r="B21" s="17"/>
      <c r="C21" s="17"/>
      <c r="D21" s="17"/>
      <c r="E21" s="17"/>
      <c r="F21" s="17"/>
      <c r="G21" s="17"/>
      <c r="H21" s="17"/>
      <c r="I21" s="16">
        <v>1999</v>
      </c>
      <c r="J21" s="17"/>
      <c r="K21" s="17"/>
      <c r="L21" s="17"/>
      <c r="M21" s="17"/>
      <c r="AG21" s="112" t="str">
        <f t="shared" si="0"/>
        <v>18DA13F1</v>
      </c>
      <c r="AH21">
        <v>19</v>
      </c>
    </row>
    <row r="22" spans="1:34" ht="15" customHeight="1" thickTop="1" thickBot="1" x14ac:dyDescent="0.6">
      <c r="A22" s="17"/>
      <c r="B22" s="17"/>
      <c r="C22" s="17"/>
      <c r="D22" s="17"/>
      <c r="E22" s="17"/>
      <c r="F22" s="17"/>
      <c r="G22" s="17"/>
      <c r="H22" s="17"/>
      <c r="I22" s="16">
        <v>2000</v>
      </c>
      <c r="J22" s="17"/>
      <c r="K22" s="17"/>
      <c r="L22" s="17"/>
      <c r="M22" s="17"/>
      <c r="AG22" s="112" t="str">
        <f t="shared" si="0"/>
        <v>18DA14F1</v>
      </c>
      <c r="AH22">
        <v>20</v>
      </c>
    </row>
    <row r="23" spans="1:34" ht="15" customHeight="1" thickTop="1" thickBot="1" x14ac:dyDescent="0.6">
      <c r="A23" s="17"/>
      <c r="B23" s="17"/>
      <c r="C23" s="17"/>
      <c r="D23" s="17"/>
      <c r="E23" s="17"/>
      <c r="F23" s="17"/>
      <c r="G23" s="17"/>
      <c r="H23" s="17"/>
      <c r="I23" s="16">
        <v>2001</v>
      </c>
      <c r="J23" s="17"/>
      <c r="K23" s="17"/>
      <c r="L23" s="17"/>
      <c r="M23" s="17"/>
      <c r="AG23" s="112" t="str">
        <f t="shared" si="0"/>
        <v>18DA15F1</v>
      </c>
      <c r="AH23">
        <v>21</v>
      </c>
    </row>
    <row r="24" spans="1:34" ht="15" customHeight="1" thickTop="1" thickBot="1" x14ac:dyDescent="0.6">
      <c r="A24" s="17"/>
      <c r="B24" s="17"/>
      <c r="C24" s="17"/>
      <c r="D24" s="17"/>
      <c r="E24" s="17"/>
      <c r="F24" s="17"/>
      <c r="G24" s="17"/>
      <c r="H24" s="17"/>
      <c r="I24" s="16">
        <v>2002</v>
      </c>
      <c r="J24" s="17"/>
      <c r="K24" s="17"/>
      <c r="L24" s="17"/>
      <c r="M24" s="17"/>
      <c r="AG24" s="112" t="str">
        <f t="shared" si="0"/>
        <v>18DA16F1</v>
      </c>
      <c r="AH24">
        <v>22</v>
      </c>
    </row>
    <row r="25" spans="1:34" ht="15" customHeight="1" thickTop="1" thickBot="1" x14ac:dyDescent="0.6">
      <c r="A25" s="17"/>
      <c r="B25" s="17"/>
      <c r="C25" s="17"/>
      <c r="D25" s="17"/>
      <c r="E25" s="17"/>
      <c r="F25" s="17"/>
      <c r="G25" s="17"/>
      <c r="H25" s="17"/>
      <c r="I25" s="16">
        <v>2003</v>
      </c>
      <c r="J25" s="17"/>
      <c r="K25" s="17"/>
      <c r="L25" s="17"/>
      <c r="M25" s="17"/>
      <c r="AG25" s="112" t="str">
        <f t="shared" si="0"/>
        <v>18DA17F1</v>
      </c>
      <c r="AH25">
        <v>23</v>
      </c>
    </row>
    <row r="26" spans="1:34" ht="15" customHeight="1" thickTop="1" thickBot="1" x14ac:dyDescent="0.6">
      <c r="A26" s="17"/>
      <c r="B26" s="17"/>
      <c r="C26" s="17"/>
      <c r="D26" s="17"/>
      <c r="E26" s="17"/>
      <c r="F26" s="17"/>
      <c r="G26" s="17"/>
      <c r="H26" s="17"/>
      <c r="I26" s="16">
        <v>2004</v>
      </c>
      <c r="J26" s="17"/>
      <c r="K26" s="17"/>
      <c r="L26" s="17"/>
      <c r="M26" s="17"/>
      <c r="AG26" s="112" t="str">
        <f t="shared" si="0"/>
        <v>18DA18F1</v>
      </c>
      <c r="AH26">
        <v>24</v>
      </c>
    </row>
    <row r="27" spans="1:34" ht="15" customHeight="1" thickTop="1" thickBot="1" x14ac:dyDescent="0.6">
      <c r="A27" s="17"/>
      <c r="B27" s="17"/>
      <c r="C27" s="17"/>
      <c r="D27" s="17"/>
      <c r="E27" s="17"/>
      <c r="F27" s="17"/>
      <c r="G27" s="17"/>
      <c r="H27" s="17"/>
      <c r="I27" s="16">
        <v>2005</v>
      </c>
      <c r="J27" s="17"/>
      <c r="K27" s="17"/>
      <c r="L27" s="17"/>
      <c r="M27" s="17"/>
      <c r="AG27" s="112" t="str">
        <f t="shared" si="0"/>
        <v>18DA19F1</v>
      </c>
      <c r="AH27">
        <v>25</v>
      </c>
    </row>
    <row r="28" spans="1:34" ht="15" customHeight="1" thickTop="1" thickBot="1" x14ac:dyDescent="0.6">
      <c r="A28" s="17"/>
      <c r="B28" s="17"/>
      <c r="C28" s="17"/>
      <c r="D28" s="17"/>
      <c r="E28" s="17"/>
      <c r="F28" s="17"/>
      <c r="G28" s="17"/>
      <c r="H28" s="17"/>
      <c r="I28" s="16">
        <v>2006</v>
      </c>
      <c r="J28" s="17"/>
      <c r="K28" s="17"/>
      <c r="L28" s="17"/>
      <c r="M28" s="17"/>
      <c r="AG28" s="112" t="str">
        <f t="shared" si="0"/>
        <v>18DA1AF1</v>
      </c>
      <c r="AH28">
        <v>26</v>
      </c>
    </row>
    <row r="29" spans="1:34" ht="15" customHeight="1" thickTop="1" thickBot="1" x14ac:dyDescent="0.6">
      <c r="A29" s="17"/>
      <c r="B29" s="17"/>
      <c r="C29" s="17"/>
      <c r="D29" s="17"/>
      <c r="E29" s="17"/>
      <c r="F29" s="17"/>
      <c r="G29" s="17"/>
      <c r="H29" s="17"/>
      <c r="I29" s="16">
        <v>2007</v>
      </c>
      <c r="J29" s="17"/>
      <c r="K29" s="17"/>
      <c r="L29" s="17"/>
      <c r="M29" s="17"/>
      <c r="AG29" s="112" t="str">
        <f t="shared" si="0"/>
        <v>18DA1BF1</v>
      </c>
      <c r="AH29">
        <v>27</v>
      </c>
    </row>
    <row r="30" spans="1:34" ht="15" customHeight="1" thickTop="1" thickBot="1" x14ac:dyDescent="0.6">
      <c r="A30" s="17"/>
      <c r="B30" s="17"/>
      <c r="C30" s="17"/>
      <c r="D30" s="17"/>
      <c r="E30" s="17"/>
      <c r="F30" s="17"/>
      <c r="G30" s="17"/>
      <c r="H30" s="17"/>
      <c r="I30" s="16">
        <v>2008</v>
      </c>
      <c r="J30" s="17"/>
      <c r="K30" s="17"/>
      <c r="L30" s="17"/>
      <c r="M30" s="17"/>
      <c r="AG30" s="112" t="str">
        <f t="shared" si="0"/>
        <v>18DA1CF1</v>
      </c>
      <c r="AH30">
        <v>28</v>
      </c>
    </row>
    <row r="31" spans="1:34" ht="15" customHeight="1" thickTop="1" thickBot="1" x14ac:dyDescent="0.6">
      <c r="A31" s="17"/>
      <c r="B31" s="17"/>
      <c r="C31" s="17"/>
      <c r="D31" s="17"/>
      <c r="E31" s="17"/>
      <c r="F31" s="17"/>
      <c r="G31" s="17"/>
      <c r="H31" s="17"/>
      <c r="I31" s="16">
        <v>2009</v>
      </c>
      <c r="J31" s="17"/>
      <c r="K31" s="17"/>
      <c r="L31" s="17"/>
      <c r="M31" s="17"/>
      <c r="AG31" s="112" t="str">
        <f t="shared" si="0"/>
        <v>18DA1DF1</v>
      </c>
      <c r="AH31">
        <v>29</v>
      </c>
    </row>
    <row r="32" spans="1:34" ht="15" customHeight="1" thickTop="1" thickBot="1" x14ac:dyDescent="0.6">
      <c r="A32" s="17"/>
      <c r="B32" s="17"/>
      <c r="C32" s="17"/>
      <c r="D32" s="17"/>
      <c r="E32" s="17"/>
      <c r="F32" s="17"/>
      <c r="G32" s="17"/>
      <c r="H32" s="17"/>
      <c r="I32" s="16">
        <v>2010</v>
      </c>
      <c r="J32" s="17"/>
      <c r="K32" s="17"/>
      <c r="L32" s="17"/>
      <c r="M32" s="17"/>
      <c r="AG32" s="112" t="str">
        <f t="shared" si="0"/>
        <v>18DA1EF1</v>
      </c>
      <c r="AH32">
        <v>30</v>
      </c>
    </row>
    <row r="33" spans="1:34" ht="15" customHeight="1" thickTop="1" thickBot="1" x14ac:dyDescent="0.6">
      <c r="A33" s="17"/>
      <c r="B33" s="17"/>
      <c r="C33" s="17"/>
      <c r="D33" s="17"/>
      <c r="E33" s="17"/>
      <c r="F33" s="17"/>
      <c r="G33" s="17"/>
      <c r="H33" s="17"/>
      <c r="I33" s="16">
        <v>2011</v>
      </c>
      <c r="J33" s="17"/>
      <c r="K33" s="17"/>
      <c r="L33" s="17"/>
      <c r="M33" s="17"/>
      <c r="AG33" s="112" t="str">
        <f t="shared" si="0"/>
        <v>18DA1FF1</v>
      </c>
      <c r="AH33">
        <v>31</v>
      </c>
    </row>
    <row r="34" spans="1:34" ht="15" customHeight="1" thickTop="1" thickBot="1" x14ac:dyDescent="0.6">
      <c r="A34" s="17"/>
      <c r="B34" s="17"/>
      <c r="C34" s="17"/>
      <c r="D34" s="17"/>
      <c r="E34" s="17"/>
      <c r="F34" s="17"/>
      <c r="G34" s="17"/>
      <c r="H34" s="17"/>
      <c r="I34" s="16">
        <v>2012</v>
      </c>
      <c r="J34" s="17"/>
      <c r="K34" s="17"/>
      <c r="L34" s="17"/>
      <c r="M34" s="17"/>
      <c r="AG34" s="112" t="str">
        <f t="shared" si="0"/>
        <v>18DA20F1</v>
      </c>
      <c r="AH34">
        <v>32</v>
      </c>
    </row>
    <row r="35" spans="1:34" ht="15" customHeight="1" thickTop="1" thickBot="1" x14ac:dyDescent="0.6">
      <c r="A35" s="17"/>
      <c r="B35" s="17"/>
      <c r="C35" s="17"/>
      <c r="D35" s="17"/>
      <c r="E35" s="17"/>
      <c r="F35" s="17"/>
      <c r="G35" s="17"/>
      <c r="H35" s="17"/>
      <c r="I35" s="16">
        <v>2013</v>
      </c>
      <c r="J35" s="17"/>
      <c r="K35" s="17"/>
      <c r="L35" s="17"/>
      <c r="M35" s="17"/>
      <c r="AG35" s="112" t="str">
        <f t="shared" si="0"/>
        <v>18DA21F1</v>
      </c>
      <c r="AH35">
        <v>33</v>
      </c>
    </row>
    <row r="36" spans="1:34" ht="15" customHeight="1" thickTop="1" thickBot="1" x14ac:dyDescent="0.6">
      <c r="A36" s="17"/>
      <c r="B36" s="17"/>
      <c r="C36" s="17"/>
      <c r="D36" s="17"/>
      <c r="E36" s="17"/>
      <c r="F36" s="17"/>
      <c r="G36" s="17"/>
      <c r="H36" s="17"/>
      <c r="I36" s="16">
        <v>2014</v>
      </c>
      <c r="J36" s="17"/>
      <c r="K36" s="17"/>
      <c r="L36" s="17"/>
      <c r="M36" s="17"/>
      <c r="AG36" s="112" t="str">
        <f t="shared" si="0"/>
        <v>18DA22F1</v>
      </c>
      <c r="AH36">
        <v>34</v>
      </c>
    </row>
    <row r="37" spans="1:34" ht="15" customHeight="1" thickTop="1" thickBot="1" x14ac:dyDescent="0.6">
      <c r="A37" s="17"/>
      <c r="B37" s="17"/>
      <c r="C37" s="17"/>
      <c r="D37" s="17"/>
      <c r="E37" s="17"/>
      <c r="F37" s="17"/>
      <c r="G37" s="17"/>
      <c r="H37" s="17"/>
      <c r="I37" s="16">
        <v>2015</v>
      </c>
      <c r="J37" s="17"/>
      <c r="K37" s="17"/>
      <c r="L37" s="17"/>
      <c r="M37" s="17"/>
      <c r="AG37" s="112" t="str">
        <f t="shared" si="0"/>
        <v>18DA23F1</v>
      </c>
      <c r="AH37">
        <v>35</v>
      </c>
    </row>
    <row r="38" spans="1:34" ht="15" customHeight="1" thickTop="1" thickBot="1" x14ac:dyDescent="0.6">
      <c r="A38" s="17"/>
      <c r="B38" s="17"/>
      <c r="C38" s="17"/>
      <c r="D38" s="17"/>
      <c r="E38" s="17"/>
      <c r="F38" s="17"/>
      <c r="G38" s="17"/>
      <c r="H38" s="17"/>
      <c r="I38" s="16">
        <v>2016</v>
      </c>
      <c r="J38" s="17"/>
      <c r="K38" s="17"/>
      <c r="L38" s="17"/>
      <c r="M38" s="17"/>
      <c r="AG38" s="112" t="str">
        <f t="shared" si="0"/>
        <v>18DA24F1</v>
      </c>
      <c r="AH38">
        <v>36</v>
      </c>
    </row>
    <row r="39" spans="1:34" ht="15" customHeight="1" thickTop="1" thickBot="1" x14ac:dyDescent="0.6">
      <c r="A39" s="17"/>
      <c r="B39" s="17"/>
      <c r="C39" s="17"/>
      <c r="D39" s="17"/>
      <c r="E39" s="17"/>
      <c r="F39" s="17"/>
      <c r="G39" s="17"/>
      <c r="H39" s="17"/>
      <c r="I39" s="16">
        <v>2017</v>
      </c>
      <c r="J39" s="17"/>
      <c r="K39" s="17"/>
      <c r="L39" s="17"/>
      <c r="M39" s="17"/>
      <c r="AG39" s="112" t="str">
        <f t="shared" si="0"/>
        <v>18DA25F1</v>
      </c>
      <c r="AH39">
        <v>37</v>
      </c>
    </row>
    <row r="40" spans="1:34" ht="15" customHeight="1" thickTop="1" thickBot="1" x14ac:dyDescent="0.6">
      <c r="A40" s="17"/>
      <c r="B40" s="17"/>
      <c r="C40" s="17"/>
      <c r="D40" s="17"/>
      <c r="E40" s="17"/>
      <c r="F40" s="17"/>
      <c r="G40" s="17"/>
      <c r="H40" s="17"/>
      <c r="I40" s="16">
        <v>2018</v>
      </c>
      <c r="J40" s="17"/>
      <c r="K40" s="17"/>
      <c r="L40" s="17"/>
      <c r="M40" s="17"/>
      <c r="AG40" s="112" t="str">
        <f t="shared" si="0"/>
        <v>18DA26F1</v>
      </c>
      <c r="AH40">
        <v>38</v>
      </c>
    </row>
    <row r="41" spans="1:34" ht="15" customHeight="1" thickTop="1" thickBot="1" x14ac:dyDescent="0.6">
      <c r="A41" s="17"/>
      <c r="B41" s="17"/>
      <c r="C41" s="17"/>
      <c r="D41" s="17"/>
      <c r="E41" s="17"/>
      <c r="F41" s="17"/>
      <c r="G41" s="17"/>
      <c r="H41" s="17"/>
      <c r="I41" s="16">
        <v>2019</v>
      </c>
      <c r="J41" s="17"/>
      <c r="K41" s="17"/>
      <c r="L41" s="17"/>
      <c r="M41" s="17"/>
      <c r="AG41" s="112" t="str">
        <f t="shared" si="0"/>
        <v>18DA27F1</v>
      </c>
      <c r="AH41">
        <v>39</v>
      </c>
    </row>
    <row r="42" spans="1:34" ht="15" customHeight="1" thickTop="1" thickBot="1" x14ac:dyDescent="0.6">
      <c r="A42" s="17"/>
      <c r="B42" s="17"/>
      <c r="C42" s="17"/>
      <c r="D42" s="17"/>
      <c r="E42" s="17"/>
      <c r="F42" s="17"/>
      <c r="G42" s="17"/>
      <c r="H42" s="17"/>
      <c r="I42" s="16">
        <v>2020</v>
      </c>
      <c r="J42" s="17"/>
      <c r="K42" s="17"/>
      <c r="L42" s="17"/>
      <c r="M42" s="17"/>
      <c r="AG42" s="112" t="str">
        <f t="shared" si="0"/>
        <v>18DA28F1</v>
      </c>
      <c r="AH42">
        <v>40</v>
      </c>
    </row>
    <row r="43" spans="1:34" ht="15" customHeight="1" thickTop="1" thickBot="1" x14ac:dyDescent="0.6">
      <c r="A43" s="16"/>
      <c r="B43" s="16"/>
      <c r="C43" s="16"/>
      <c r="D43" s="16"/>
      <c r="E43" s="16"/>
      <c r="F43" s="16"/>
      <c r="G43" s="16"/>
      <c r="H43" s="16"/>
      <c r="I43" s="16">
        <v>2021</v>
      </c>
      <c r="J43" s="16"/>
      <c r="K43" s="16"/>
      <c r="L43" s="16"/>
      <c r="M43" s="16"/>
      <c r="AG43" s="112" t="str">
        <f t="shared" si="0"/>
        <v>18DA29F1</v>
      </c>
      <c r="AH43">
        <v>41</v>
      </c>
    </row>
    <row r="44" spans="1:34" ht="15" customHeight="1" thickTop="1" thickBot="1" x14ac:dyDescent="0.6">
      <c r="A44" s="16"/>
      <c r="B44" s="16"/>
      <c r="C44" s="16"/>
      <c r="D44" s="16"/>
      <c r="E44" s="16"/>
      <c r="F44" s="16"/>
      <c r="G44" s="16"/>
      <c r="H44" s="16"/>
      <c r="I44" s="16">
        <v>2022</v>
      </c>
      <c r="J44" s="16"/>
      <c r="K44" s="16"/>
      <c r="L44" s="16"/>
      <c r="M44" s="16"/>
      <c r="AG44" s="112" t="str">
        <f t="shared" si="0"/>
        <v>18DA2AF1</v>
      </c>
      <c r="AH44">
        <v>42</v>
      </c>
    </row>
    <row r="45" spans="1:34" ht="15" customHeight="1" thickTop="1" thickBot="1" x14ac:dyDescent="0.6">
      <c r="A45" s="16"/>
      <c r="B45" s="16"/>
      <c r="C45" s="16"/>
      <c r="D45" s="16"/>
      <c r="E45" s="16"/>
      <c r="F45" s="16"/>
      <c r="G45" s="16"/>
      <c r="H45" s="16"/>
      <c r="I45" s="16">
        <v>2023</v>
      </c>
      <c r="J45" s="16"/>
      <c r="K45" s="16"/>
      <c r="L45" s="16"/>
      <c r="M45" s="16"/>
      <c r="AG45" s="112" t="str">
        <f t="shared" si="0"/>
        <v>18DA2BF1</v>
      </c>
      <c r="AH45">
        <v>43</v>
      </c>
    </row>
    <row r="46" spans="1:34" ht="15" customHeight="1" thickTop="1" thickBot="1" x14ac:dyDescent="0.6">
      <c r="I46" s="16">
        <v>2024</v>
      </c>
      <c r="AG46" s="112" t="str">
        <f t="shared" si="0"/>
        <v>18DA2CF1</v>
      </c>
      <c r="AH46">
        <v>44</v>
      </c>
    </row>
    <row r="47" spans="1:34" ht="15" customHeight="1" thickTop="1" thickBot="1" x14ac:dyDescent="0.6">
      <c r="I47" s="16">
        <v>2025</v>
      </c>
      <c r="AG47" s="112" t="str">
        <f t="shared" si="0"/>
        <v>18DA2DF1</v>
      </c>
      <c r="AH47">
        <v>45</v>
      </c>
    </row>
    <row r="48" spans="1:34" ht="15" customHeight="1" thickTop="1" thickBot="1" x14ac:dyDescent="0.6">
      <c r="I48" s="16">
        <v>2026</v>
      </c>
      <c r="AG48" s="112" t="str">
        <f t="shared" si="0"/>
        <v>18DA2EF1</v>
      </c>
      <c r="AH48">
        <v>46</v>
      </c>
    </row>
    <row r="49" spans="9:34" ht="15" customHeight="1" thickTop="1" thickBot="1" x14ac:dyDescent="0.6">
      <c r="I49" s="16">
        <v>2027</v>
      </c>
      <c r="AG49" s="112" t="str">
        <f t="shared" si="0"/>
        <v>18DA2FF1</v>
      </c>
      <c r="AH49">
        <v>47</v>
      </c>
    </row>
    <row r="50" spans="9:34" ht="15" customHeight="1" thickTop="1" thickBot="1" x14ac:dyDescent="0.6">
      <c r="I50" s="16">
        <v>2028</v>
      </c>
      <c r="AG50" s="112" t="str">
        <f t="shared" si="0"/>
        <v>18DA30F1</v>
      </c>
      <c r="AH50">
        <v>48</v>
      </c>
    </row>
    <row r="51" spans="9:34" ht="15" customHeight="1" thickTop="1" thickBot="1" x14ac:dyDescent="0.6">
      <c r="I51" s="16">
        <v>2029</v>
      </c>
      <c r="AG51" s="112" t="str">
        <f t="shared" si="0"/>
        <v>18DA31F1</v>
      </c>
      <c r="AH51">
        <v>49</v>
      </c>
    </row>
    <row r="52" spans="9:34" ht="15" customHeight="1" thickTop="1" thickBot="1" x14ac:dyDescent="0.6">
      <c r="I52" s="16">
        <v>2030</v>
      </c>
      <c r="AG52" s="112" t="str">
        <f t="shared" si="0"/>
        <v>18DA32F1</v>
      </c>
      <c r="AH52">
        <v>50</v>
      </c>
    </row>
    <row r="53" spans="9:34" ht="15" customHeight="1" thickTop="1" thickBot="1" x14ac:dyDescent="0.6">
      <c r="I53" s="16">
        <v>2031</v>
      </c>
      <c r="AG53" s="112" t="str">
        <f t="shared" si="0"/>
        <v>18DA33F1</v>
      </c>
      <c r="AH53">
        <v>51</v>
      </c>
    </row>
    <row r="54" spans="9:34" ht="15" customHeight="1" thickTop="1" thickBot="1" x14ac:dyDescent="0.6">
      <c r="I54" s="16">
        <v>2032</v>
      </c>
      <c r="AG54" s="112" t="str">
        <f t="shared" si="0"/>
        <v>18DA34F1</v>
      </c>
      <c r="AH54">
        <v>52</v>
      </c>
    </row>
    <row r="55" spans="9:34" ht="15" customHeight="1" thickTop="1" thickBot="1" x14ac:dyDescent="0.6">
      <c r="I55" s="16">
        <v>2033</v>
      </c>
      <c r="AG55" s="112" t="str">
        <f t="shared" si="0"/>
        <v>18DA35F1</v>
      </c>
      <c r="AH55">
        <v>53</v>
      </c>
    </row>
    <row r="56" spans="9:34" ht="15" customHeight="1" thickTop="1" thickBot="1" x14ac:dyDescent="0.6">
      <c r="I56" s="16">
        <v>2034</v>
      </c>
      <c r="AG56" s="112" t="str">
        <f t="shared" si="0"/>
        <v>18DA36F1</v>
      </c>
      <c r="AH56">
        <v>54</v>
      </c>
    </row>
    <row r="57" spans="9:34" ht="15" customHeight="1" thickTop="1" thickBot="1" x14ac:dyDescent="0.6">
      <c r="I57" s="16">
        <v>2035</v>
      </c>
      <c r="AG57" s="112" t="str">
        <f t="shared" si="0"/>
        <v>18DA37F1</v>
      </c>
      <c r="AH57">
        <v>55</v>
      </c>
    </row>
    <row r="58" spans="9:34" ht="15" customHeight="1" thickTop="1" thickBot="1" x14ac:dyDescent="0.6">
      <c r="I58" s="16">
        <v>2036</v>
      </c>
      <c r="AG58" s="112" t="str">
        <f t="shared" si="0"/>
        <v>18DA38F1</v>
      </c>
      <c r="AH58">
        <v>56</v>
      </c>
    </row>
    <row r="59" spans="9:34" ht="15" customHeight="1" thickTop="1" thickBot="1" x14ac:dyDescent="0.6">
      <c r="I59" s="16">
        <v>2037</v>
      </c>
      <c r="AG59" s="112" t="str">
        <f t="shared" si="0"/>
        <v>18DA39F1</v>
      </c>
      <c r="AH59">
        <v>57</v>
      </c>
    </row>
    <row r="60" spans="9:34" ht="15" customHeight="1" thickTop="1" thickBot="1" x14ac:dyDescent="0.6">
      <c r="I60" s="16">
        <v>2038</v>
      </c>
      <c r="AG60" s="112" t="str">
        <f t="shared" si="0"/>
        <v>18DA3AF1</v>
      </c>
      <c r="AH60">
        <v>58</v>
      </c>
    </row>
    <row r="61" spans="9:34" ht="15" customHeight="1" thickTop="1" thickBot="1" x14ac:dyDescent="0.6">
      <c r="I61" s="16">
        <v>2039</v>
      </c>
      <c r="AG61" s="112" t="str">
        <f t="shared" si="0"/>
        <v>18DA3BF1</v>
      </c>
      <c r="AH61">
        <v>59</v>
      </c>
    </row>
    <row r="62" spans="9:34" ht="15" customHeight="1" thickTop="1" thickBot="1" x14ac:dyDescent="0.6">
      <c r="I62" s="16">
        <v>2040</v>
      </c>
      <c r="AG62" s="112" t="str">
        <f t="shared" si="0"/>
        <v>18DA3CF1</v>
      </c>
      <c r="AH62">
        <v>60</v>
      </c>
    </row>
    <row r="63" spans="9:34" ht="15" customHeight="1" thickTop="1" thickBot="1" x14ac:dyDescent="0.6">
      <c r="I63" s="16">
        <v>2041</v>
      </c>
      <c r="AG63" s="112" t="str">
        <f t="shared" si="0"/>
        <v>18DA3DF1</v>
      </c>
      <c r="AH63">
        <v>61</v>
      </c>
    </row>
    <row r="64" spans="9:34" ht="15" customHeight="1" thickTop="1" thickBot="1" x14ac:dyDescent="0.6">
      <c r="I64" s="16">
        <v>2042</v>
      </c>
      <c r="AG64" s="112" t="str">
        <f t="shared" si="0"/>
        <v>18DA3EF1</v>
      </c>
      <c r="AH64">
        <v>62</v>
      </c>
    </row>
    <row r="65" spans="9:34" ht="15" customHeight="1" thickTop="1" thickBot="1" x14ac:dyDescent="0.6">
      <c r="I65" s="16">
        <v>2043</v>
      </c>
      <c r="AG65" s="112" t="str">
        <f t="shared" si="0"/>
        <v>18DA3FF1</v>
      </c>
      <c r="AH65">
        <v>63</v>
      </c>
    </row>
    <row r="66" spans="9:34" ht="15" customHeight="1" thickTop="1" thickBot="1" x14ac:dyDescent="0.6">
      <c r="I66" s="16">
        <v>2044</v>
      </c>
      <c r="AG66" s="112" t="str">
        <f t="shared" ref="AG66:AG129" si="1">CONCATENATE("18DA",DEC2HEX(AH66,2),"F1")</f>
        <v>18DA40F1</v>
      </c>
      <c r="AH66">
        <v>64</v>
      </c>
    </row>
    <row r="67" spans="9:34" ht="15" customHeight="1" thickTop="1" thickBot="1" x14ac:dyDescent="0.6">
      <c r="I67" s="16">
        <v>2045</v>
      </c>
      <c r="AG67" s="112" t="str">
        <f t="shared" si="1"/>
        <v>18DA41F1</v>
      </c>
      <c r="AH67">
        <v>65</v>
      </c>
    </row>
    <row r="68" spans="9:34" ht="15" customHeight="1" thickTop="1" thickBot="1" x14ac:dyDescent="0.6">
      <c r="I68" s="16">
        <v>2046</v>
      </c>
      <c r="AG68" s="112" t="str">
        <f t="shared" si="1"/>
        <v>18DA42F1</v>
      </c>
      <c r="AH68">
        <v>66</v>
      </c>
    </row>
    <row r="69" spans="9:34" ht="15" customHeight="1" thickTop="1" thickBot="1" x14ac:dyDescent="0.6">
      <c r="I69" s="16">
        <v>2047</v>
      </c>
      <c r="AG69" s="112" t="str">
        <f t="shared" si="1"/>
        <v>18DA43F1</v>
      </c>
      <c r="AH69">
        <v>67</v>
      </c>
    </row>
    <row r="70" spans="9:34" ht="15" customHeight="1" thickTop="1" thickBot="1" x14ac:dyDescent="0.6">
      <c r="I70" s="16">
        <v>2048</v>
      </c>
      <c r="AG70" s="112" t="str">
        <f t="shared" si="1"/>
        <v>18DA44F1</v>
      </c>
      <c r="AH70">
        <v>68</v>
      </c>
    </row>
    <row r="71" spans="9:34" ht="15" customHeight="1" thickTop="1" thickBot="1" x14ac:dyDescent="0.6">
      <c r="I71" s="16">
        <v>2049</v>
      </c>
      <c r="AG71" s="112" t="str">
        <f t="shared" si="1"/>
        <v>18DA45F1</v>
      </c>
      <c r="AH71">
        <v>69</v>
      </c>
    </row>
    <row r="72" spans="9:34" ht="15" customHeight="1" thickTop="1" thickBot="1" x14ac:dyDescent="0.6">
      <c r="I72" s="16">
        <v>2050</v>
      </c>
      <c r="AG72" s="112" t="str">
        <f t="shared" si="1"/>
        <v>18DA46F1</v>
      </c>
      <c r="AH72">
        <v>70</v>
      </c>
    </row>
    <row r="73" spans="9:34" ht="15" customHeight="1" thickTop="1" thickBot="1" x14ac:dyDescent="0.6">
      <c r="I73" s="16">
        <v>2051</v>
      </c>
      <c r="AG73" s="112" t="str">
        <f t="shared" si="1"/>
        <v>18DA47F1</v>
      </c>
      <c r="AH73">
        <v>71</v>
      </c>
    </row>
    <row r="74" spans="9:34" ht="15" customHeight="1" thickTop="1" thickBot="1" x14ac:dyDescent="0.6">
      <c r="I74" s="16">
        <v>2052</v>
      </c>
      <c r="AG74" s="112" t="str">
        <f t="shared" si="1"/>
        <v>18DA48F1</v>
      </c>
      <c r="AH74">
        <v>72</v>
      </c>
    </row>
    <row r="75" spans="9:34" ht="15" customHeight="1" thickTop="1" thickBot="1" x14ac:dyDescent="0.6">
      <c r="I75" s="16">
        <v>2053</v>
      </c>
      <c r="AG75" s="112" t="str">
        <f t="shared" si="1"/>
        <v>18DA49F1</v>
      </c>
      <c r="AH75">
        <v>73</v>
      </c>
    </row>
    <row r="76" spans="9:34" ht="15" customHeight="1" thickTop="1" thickBot="1" x14ac:dyDescent="0.6">
      <c r="I76" s="16">
        <v>2054</v>
      </c>
      <c r="AG76" s="112" t="str">
        <f t="shared" si="1"/>
        <v>18DA4AF1</v>
      </c>
      <c r="AH76">
        <v>74</v>
      </c>
    </row>
    <row r="77" spans="9:34" ht="15" customHeight="1" thickTop="1" thickBot="1" x14ac:dyDescent="0.6">
      <c r="I77" s="16">
        <v>2055</v>
      </c>
      <c r="AG77" s="112" t="str">
        <f t="shared" si="1"/>
        <v>18DA4BF1</v>
      </c>
      <c r="AH77">
        <v>75</v>
      </c>
    </row>
    <row r="78" spans="9:34" ht="15" customHeight="1" thickTop="1" thickBot="1" x14ac:dyDescent="0.6">
      <c r="I78" s="16">
        <v>2056</v>
      </c>
      <c r="AG78" s="112" t="str">
        <f t="shared" si="1"/>
        <v>18DA4CF1</v>
      </c>
      <c r="AH78">
        <v>76</v>
      </c>
    </row>
    <row r="79" spans="9:34" ht="15" customHeight="1" thickTop="1" thickBot="1" x14ac:dyDescent="0.6">
      <c r="I79" s="16">
        <v>2057</v>
      </c>
      <c r="AG79" s="112" t="str">
        <f t="shared" si="1"/>
        <v>18DA4DF1</v>
      </c>
      <c r="AH79">
        <v>77</v>
      </c>
    </row>
    <row r="80" spans="9:34" ht="15" customHeight="1" thickTop="1" thickBot="1" x14ac:dyDescent="0.6">
      <c r="I80" s="16">
        <v>2058</v>
      </c>
      <c r="AG80" s="112" t="str">
        <f t="shared" si="1"/>
        <v>18DA4EF1</v>
      </c>
      <c r="AH80">
        <v>78</v>
      </c>
    </row>
    <row r="81" spans="9:34" ht="15" customHeight="1" thickTop="1" thickBot="1" x14ac:dyDescent="0.6">
      <c r="I81" s="16">
        <v>2059</v>
      </c>
      <c r="AG81" s="112" t="str">
        <f t="shared" si="1"/>
        <v>18DA4FF1</v>
      </c>
      <c r="AH81">
        <v>79</v>
      </c>
    </row>
    <row r="82" spans="9:34" ht="15" customHeight="1" thickTop="1" thickBot="1" x14ac:dyDescent="0.6">
      <c r="I82" s="16">
        <v>2060</v>
      </c>
      <c r="AG82" s="112" t="str">
        <f t="shared" si="1"/>
        <v>18DA50F1</v>
      </c>
      <c r="AH82">
        <v>80</v>
      </c>
    </row>
    <row r="83" spans="9:34" ht="15" customHeight="1" thickTop="1" thickBot="1" x14ac:dyDescent="0.6">
      <c r="I83" s="16">
        <v>2061</v>
      </c>
      <c r="AG83" s="112" t="str">
        <f t="shared" si="1"/>
        <v>18DA51F1</v>
      </c>
      <c r="AH83">
        <v>81</v>
      </c>
    </row>
    <row r="84" spans="9:34" ht="15" customHeight="1" thickTop="1" thickBot="1" x14ac:dyDescent="0.6">
      <c r="I84" s="16">
        <v>2062</v>
      </c>
      <c r="AG84" s="112" t="str">
        <f t="shared" si="1"/>
        <v>18DA52F1</v>
      </c>
      <c r="AH84">
        <v>82</v>
      </c>
    </row>
    <row r="85" spans="9:34" ht="15" customHeight="1" thickTop="1" thickBot="1" x14ac:dyDescent="0.6">
      <c r="I85" s="16">
        <v>2063</v>
      </c>
      <c r="AG85" s="112" t="str">
        <f t="shared" si="1"/>
        <v>18DA53F1</v>
      </c>
      <c r="AH85">
        <v>83</v>
      </c>
    </row>
    <row r="86" spans="9:34" ht="15" customHeight="1" thickTop="1" thickBot="1" x14ac:dyDescent="0.6">
      <c r="I86" s="16">
        <v>2064</v>
      </c>
      <c r="AG86" s="112" t="str">
        <f t="shared" si="1"/>
        <v>18DA54F1</v>
      </c>
      <c r="AH86">
        <v>84</v>
      </c>
    </row>
    <row r="87" spans="9:34" ht="15" customHeight="1" thickTop="1" thickBot="1" x14ac:dyDescent="0.6">
      <c r="I87" s="16">
        <v>2065</v>
      </c>
      <c r="AG87" s="112" t="str">
        <f t="shared" si="1"/>
        <v>18DA55F1</v>
      </c>
      <c r="AH87">
        <v>85</v>
      </c>
    </row>
    <row r="88" spans="9:34" ht="15" customHeight="1" thickTop="1" thickBot="1" x14ac:dyDescent="0.6">
      <c r="I88" s="16">
        <v>2066</v>
      </c>
      <c r="AG88" s="112" t="str">
        <f t="shared" si="1"/>
        <v>18DA56F1</v>
      </c>
      <c r="AH88">
        <v>86</v>
      </c>
    </row>
    <row r="89" spans="9:34" ht="15" customHeight="1" thickTop="1" thickBot="1" x14ac:dyDescent="0.6">
      <c r="I89" s="16">
        <v>2067</v>
      </c>
      <c r="AG89" s="112" t="str">
        <f t="shared" si="1"/>
        <v>18DA57F1</v>
      </c>
      <c r="AH89">
        <v>87</v>
      </c>
    </row>
    <row r="90" spans="9:34" ht="15" customHeight="1" thickTop="1" thickBot="1" x14ac:dyDescent="0.6">
      <c r="I90" s="16">
        <v>2068</v>
      </c>
      <c r="AG90" s="112" t="str">
        <f t="shared" si="1"/>
        <v>18DA58F1</v>
      </c>
      <c r="AH90">
        <v>88</v>
      </c>
    </row>
    <row r="91" spans="9:34" ht="15" customHeight="1" thickTop="1" thickBot="1" x14ac:dyDescent="0.6">
      <c r="I91" s="16">
        <v>2069</v>
      </c>
      <c r="AG91" s="112" t="str">
        <f t="shared" si="1"/>
        <v>18DA59F1</v>
      </c>
      <c r="AH91">
        <v>89</v>
      </c>
    </row>
    <row r="92" spans="9:34" ht="15" customHeight="1" thickTop="1" thickBot="1" x14ac:dyDescent="0.6">
      <c r="I92" s="16">
        <v>2070</v>
      </c>
      <c r="AG92" s="112" t="str">
        <f t="shared" si="1"/>
        <v>18DA5AF1</v>
      </c>
      <c r="AH92">
        <v>90</v>
      </c>
    </row>
    <row r="93" spans="9:34" ht="15" customHeight="1" thickTop="1" thickBot="1" x14ac:dyDescent="0.6">
      <c r="I93" s="16">
        <v>2071</v>
      </c>
      <c r="AG93" s="112" t="str">
        <f t="shared" si="1"/>
        <v>18DA5BF1</v>
      </c>
      <c r="AH93">
        <v>91</v>
      </c>
    </row>
    <row r="94" spans="9:34" ht="15" customHeight="1" thickTop="1" thickBot="1" x14ac:dyDescent="0.6">
      <c r="I94" s="16">
        <v>2072</v>
      </c>
      <c r="AG94" s="112" t="str">
        <f t="shared" si="1"/>
        <v>18DA5CF1</v>
      </c>
      <c r="AH94">
        <v>92</v>
      </c>
    </row>
    <row r="95" spans="9:34" ht="14.7" customHeight="1" thickTop="1" x14ac:dyDescent="0.55000000000000004">
      <c r="AG95" s="112" t="str">
        <f t="shared" si="1"/>
        <v>18DA5DF1</v>
      </c>
      <c r="AH95">
        <v>93</v>
      </c>
    </row>
    <row r="96" spans="9:34" x14ac:dyDescent="0.55000000000000004">
      <c r="AG96" s="112" t="str">
        <f t="shared" si="1"/>
        <v>18DA5EF1</v>
      </c>
      <c r="AH96">
        <v>94</v>
      </c>
    </row>
    <row r="97" spans="33:34" x14ac:dyDescent="0.55000000000000004">
      <c r="AG97" s="112" t="str">
        <f t="shared" si="1"/>
        <v>18DA5FF1</v>
      </c>
      <c r="AH97">
        <v>95</v>
      </c>
    </row>
    <row r="98" spans="33:34" x14ac:dyDescent="0.55000000000000004">
      <c r="AG98" s="112" t="str">
        <f t="shared" si="1"/>
        <v>18DA60F1</v>
      </c>
      <c r="AH98">
        <v>96</v>
      </c>
    </row>
    <row r="99" spans="33:34" x14ac:dyDescent="0.55000000000000004">
      <c r="AG99" s="112" t="str">
        <f t="shared" si="1"/>
        <v>18DA61F1</v>
      </c>
      <c r="AH99">
        <v>97</v>
      </c>
    </row>
    <row r="100" spans="33:34" x14ac:dyDescent="0.55000000000000004">
      <c r="AG100" s="112" t="str">
        <f t="shared" si="1"/>
        <v>18DA62F1</v>
      </c>
      <c r="AH100">
        <v>98</v>
      </c>
    </row>
    <row r="101" spans="33:34" x14ac:dyDescent="0.55000000000000004">
      <c r="AG101" s="112" t="str">
        <f t="shared" si="1"/>
        <v>18DA63F1</v>
      </c>
      <c r="AH101">
        <v>99</v>
      </c>
    </row>
    <row r="102" spans="33:34" x14ac:dyDescent="0.55000000000000004">
      <c r="AG102" s="112" t="str">
        <f t="shared" si="1"/>
        <v>18DA64F1</v>
      </c>
      <c r="AH102">
        <v>100</v>
      </c>
    </row>
    <row r="103" spans="33:34" x14ac:dyDescent="0.55000000000000004">
      <c r="AG103" s="112" t="str">
        <f t="shared" si="1"/>
        <v>18DA65F1</v>
      </c>
      <c r="AH103">
        <v>101</v>
      </c>
    </row>
    <row r="104" spans="33:34" x14ac:dyDescent="0.55000000000000004">
      <c r="AG104" s="112" t="str">
        <f t="shared" si="1"/>
        <v>18DA66F1</v>
      </c>
      <c r="AH104">
        <v>102</v>
      </c>
    </row>
    <row r="105" spans="33:34" x14ac:dyDescent="0.55000000000000004">
      <c r="AG105" s="112" t="str">
        <f t="shared" si="1"/>
        <v>18DA67F1</v>
      </c>
      <c r="AH105">
        <v>103</v>
      </c>
    </row>
    <row r="106" spans="33:34" x14ac:dyDescent="0.55000000000000004">
      <c r="AG106" s="112" t="str">
        <f t="shared" si="1"/>
        <v>18DA68F1</v>
      </c>
      <c r="AH106">
        <v>104</v>
      </c>
    </row>
    <row r="107" spans="33:34" x14ac:dyDescent="0.55000000000000004">
      <c r="AG107" s="112" t="str">
        <f t="shared" si="1"/>
        <v>18DA69F1</v>
      </c>
      <c r="AH107">
        <v>105</v>
      </c>
    </row>
    <row r="108" spans="33:34" x14ac:dyDescent="0.55000000000000004">
      <c r="AG108" s="112" t="str">
        <f t="shared" si="1"/>
        <v>18DA6AF1</v>
      </c>
      <c r="AH108">
        <v>106</v>
      </c>
    </row>
    <row r="109" spans="33:34" x14ac:dyDescent="0.55000000000000004">
      <c r="AG109" s="112" t="str">
        <f t="shared" si="1"/>
        <v>18DA6BF1</v>
      </c>
      <c r="AH109">
        <v>107</v>
      </c>
    </row>
    <row r="110" spans="33:34" x14ac:dyDescent="0.55000000000000004">
      <c r="AG110" s="112" t="str">
        <f t="shared" si="1"/>
        <v>18DA6CF1</v>
      </c>
      <c r="AH110">
        <v>108</v>
      </c>
    </row>
    <row r="111" spans="33:34" x14ac:dyDescent="0.55000000000000004">
      <c r="AG111" s="112" t="str">
        <f t="shared" si="1"/>
        <v>18DA6DF1</v>
      </c>
      <c r="AH111">
        <v>109</v>
      </c>
    </row>
    <row r="112" spans="33:34" x14ac:dyDescent="0.55000000000000004">
      <c r="AG112" s="112" t="str">
        <f t="shared" si="1"/>
        <v>18DA6EF1</v>
      </c>
      <c r="AH112">
        <v>110</v>
      </c>
    </row>
    <row r="113" spans="33:34" x14ac:dyDescent="0.55000000000000004">
      <c r="AG113" s="112" t="str">
        <f t="shared" si="1"/>
        <v>18DA6FF1</v>
      </c>
      <c r="AH113">
        <v>111</v>
      </c>
    </row>
    <row r="114" spans="33:34" x14ac:dyDescent="0.55000000000000004">
      <c r="AG114" s="112" t="str">
        <f t="shared" si="1"/>
        <v>18DA70F1</v>
      </c>
      <c r="AH114">
        <v>112</v>
      </c>
    </row>
    <row r="115" spans="33:34" x14ac:dyDescent="0.55000000000000004">
      <c r="AG115" s="112" t="str">
        <f t="shared" si="1"/>
        <v>18DA71F1</v>
      </c>
      <c r="AH115">
        <v>113</v>
      </c>
    </row>
    <row r="116" spans="33:34" x14ac:dyDescent="0.55000000000000004">
      <c r="AG116" s="112" t="str">
        <f t="shared" si="1"/>
        <v>18DA72F1</v>
      </c>
      <c r="AH116">
        <v>114</v>
      </c>
    </row>
    <row r="117" spans="33:34" x14ac:dyDescent="0.55000000000000004">
      <c r="AG117" s="112" t="str">
        <f t="shared" si="1"/>
        <v>18DA73F1</v>
      </c>
      <c r="AH117">
        <v>115</v>
      </c>
    </row>
    <row r="118" spans="33:34" x14ac:dyDescent="0.55000000000000004">
      <c r="AG118" s="112" t="str">
        <f t="shared" si="1"/>
        <v>18DA74F1</v>
      </c>
      <c r="AH118">
        <v>116</v>
      </c>
    </row>
    <row r="119" spans="33:34" x14ac:dyDescent="0.55000000000000004">
      <c r="AG119" s="112" t="str">
        <f t="shared" si="1"/>
        <v>18DA75F1</v>
      </c>
      <c r="AH119">
        <v>117</v>
      </c>
    </row>
    <row r="120" spans="33:34" x14ac:dyDescent="0.55000000000000004">
      <c r="AG120" s="112" t="str">
        <f t="shared" si="1"/>
        <v>18DA76F1</v>
      </c>
      <c r="AH120">
        <v>118</v>
      </c>
    </row>
    <row r="121" spans="33:34" x14ac:dyDescent="0.55000000000000004">
      <c r="AG121" s="112" t="str">
        <f t="shared" si="1"/>
        <v>18DA77F1</v>
      </c>
      <c r="AH121">
        <v>119</v>
      </c>
    </row>
    <row r="122" spans="33:34" x14ac:dyDescent="0.55000000000000004">
      <c r="AG122" s="112" t="str">
        <f t="shared" si="1"/>
        <v>18DA78F1</v>
      </c>
      <c r="AH122">
        <v>120</v>
      </c>
    </row>
    <row r="123" spans="33:34" x14ac:dyDescent="0.55000000000000004">
      <c r="AG123" s="112" t="str">
        <f t="shared" si="1"/>
        <v>18DA79F1</v>
      </c>
      <c r="AH123">
        <v>121</v>
      </c>
    </row>
    <row r="124" spans="33:34" x14ac:dyDescent="0.55000000000000004">
      <c r="AG124" s="112" t="str">
        <f t="shared" si="1"/>
        <v>18DA7AF1</v>
      </c>
      <c r="AH124">
        <v>122</v>
      </c>
    </row>
    <row r="125" spans="33:34" x14ac:dyDescent="0.55000000000000004">
      <c r="AG125" s="112" t="str">
        <f t="shared" si="1"/>
        <v>18DA7BF1</v>
      </c>
      <c r="AH125">
        <v>123</v>
      </c>
    </row>
    <row r="126" spans="33:34" x14ac:dyDescent="0.55000000000000004">
      <c r="AG126" s="112" t="str">
        <f t="shared" si="1"/>
        <v>18DA7CF1</v>
      </c>
      <c r="AH126">
        <v>124</v>
      </c>
    </row>
    <row r="127" spans="33:34" x14ac:dyDescent="0.55000000000000004">
      <c r="AG127" s="112" t="str">
        <f t="shared" si="1"/>
        <v>18DA7DF1</v>
      </c>
      <c r="AH127">
        <v>125</v>
      </c>
    </row>
    <row r="128" spans="33:34" x14ac:dyDescent="0.55000000000000004">
      <c r="AG128" s="112" t="str">
        <f t="shared" si="1"/>
        <v>18DA7EF1</v>
      </c>
      <c r="AH128">
        <v>126</v>
      </c>
    </row>
    <row r="129" spans="33:34" x14ac:dyDescent="0.55000000000000004">
      <c r="AG129" s="112" t="str">
        <f t="shared" si="1"/>
        <v>18DA7FF1</v>
      </c>
      <c r="AH129">
        <v>127</v>
      </c>
    </row>
    <row r="130" spans="33:34" x14ac:dyDescent="0.55000000000000004">
      <c r="AG130" s="112" t="str">
        <f t="shared" ref="AG130:AG193" si="2">CONCATENATE("18DA",DEC2HEX(AH130,2),"F1")</f>
        <v>18DA80F1</v>
      </c>
      <c r="AH130">
        <v>128</v>
      </c>
    </row>
    <row r="131" spans="33:34" x14ac:dyDescent="0.55000000000000004">
      <c r="AG131" s="112" t="str">
        <f t="shared" si="2"/>
        <v>18DA81F1</v>
      </c>
      <c r="AH131">
        <v>129</v>
      </c>
    </row>
    <row r="132" spans="33:34" x14ac:dyDescent="0.55000000000000004">
      <c r="AG132" s="112" t="str">
        <f t="shared" si="2"/>
        <v>18DA82F1</v>
      </c>
      <c r="AH132">
        <v>130</v>
      </c>
    </row>
    <row r="133" spans="33:34" x14ac:dyDescent="0.55000000000000004">
      <c r="AG133" s="112" t="str">
        <f t="shared" si="2"/>
        <v>18DA83F1</v>
      </c>
      <c r="AH133">
        <v>131</v>
      </c>
    </row>
    <row r="134" spans="33:34" x14ac:dyDescent="0.55000000000000004">
      <c r="AG134" s="112" t="str">
        <f t="shared" si="2"/>
        <v>18DA84F1</v>
      </c>
      <c r="AH134">
        <v>132</v>
      </c>
    </row>
    <row r="135" spans="33:34" x14ac:dyDescent="0.55000000000000004">
      <c r="AG135" s="112" t="str">
        <f t="shared" si="2"/>
        <v>18DA85F1</v>
      </c>
      <c r="AH135">
        <v>133</v>
      </c>
    </row>
    <row r="136" spans="33:34" x14ac:dyDescent="0.55000000000000004">
      <c r="AG136" s="112" t="str">
        <f t="shared" si="2"/>
        <v>18DA86F1</v>
      </c>
      <c r="AH136">
        <v>134</v>
      </c>
    </row>
    <row r="137" spans="33:34" x14ac:dyDescent="0.55000000000000004">
      <c r="AG137" s="112" t="str">
        <f t="shared" si="2"/>
        <v>18DA87F1</v>
      </c>
      <c r="AH137">
        <v>135</v>
      </c>
    </row>
    <row r="138" spans="33:34" x14ac:dyDescent="0.55000000000000004">
      <c r="AG138" s="112" t="str">
        <f t="shared" si="2"/>
        <v>18DA88F1</v>
      </c>
      <c r="AH138">
        <v>136</v>
      </c>
    </row>
    <row r="139" spans="33:34" x14ac:dyDescent="0.55000000000000004">
      <c r="AG139" s="112" t="str">
        <f t="shared" si="2"/>
        <v>18DA89F1</v>
      </c>
      <c r="AH139">
        <v>137</v>
      </c>
    </row>
    <row r="140" spans="33:34" x14ac:dyDescent="0.55000000000000004">
      <c r="AG140" s="112" t="str">
        <f t="shared" si="2"/>
        <v>18DA8AF1</v>
      </c>
      <c r="AH140">
        <v>138</v>
      </c>
    </row>
    <row r="141" spans="33:34" x14ac:dyDescent="0.55000000000000004">
      <c r="AG141" s="112" t="str">
        <f t="shared" si="2"/>
        <v>18DA8BF1</v>
      </c>
      <c r="AH141">
        <v>139</v>
      </c>
    </row>
    <row r="142" spans="33:34" x14ac:dyDescent="0.55000000000000004">
      <c r="AG142" s="112" t="str">
        <f t="shared" si="2"/>
        <v>18DA8CF1</v>
      </c>
      <c r="AH142">
        <v>140</v>
      </c>
    </row>
    <row r="143" spans="33:34" x14ac:dyDescent="0.55000000000000004">
      <c r="AG143" s="112" t="str">
        <f t="shared" si="2"/>
        <v>18DA8DF1</v>
      </c>
      <c r="AH143">
        <v>141</v>
      </c>
    </row>
    <row r="144" spans="33:34" x14ac:dyDescent="0.55000000000000004">
      <c r="AG144" s="112" t="str">
        <f t="shared" si="2"/>
        <v>18DA8EF1</v>
      </c>
      <c r="AH144">
        <v>142</v>
      </c>
    </row>
    <row r="145" spans="33:34" x14ac:dyDescent="0.55000000000000004">
      <c r="AG145" s="112" t="str">
        <f t="shared" si="2"/>
        <v>18DA8FF1</v>
      </c>
      <c r="AH145">
        <v>143</v>
      </c>
    </row>
    <row r="146" spans="33:34" x14ac:dyDescent="0.55000000000000004">
      <c r="AG146" s="112" t="str">
        <f t="shared" si="2"/>
        <v>18DA90F1</v>
      </c>
      <c r="AH146">
        <v>144</v>
      </c>
    </row>
    <row r="147" spans="33:34" x14ac:dyDescent="0.55000000000000004">
      <c r="AG147" s="112" t="str">
        <f t="shared" si="2"/>
        <v>18DA91F1</v>
      </c>
      <c r="AH147">
        <v>145</v>
      </c>
    </row>
    <row r="148" spans="33:34" x14ac:dyDescent="0.55000000000000004">
      <c r="AG148" s="112" t="str">
        <f t="shared" si="2"/>
        <v>18DA92F1</v>
      </c>
      <c r="AH148">
        <v>146</v>
      </c>
    </row>
    <row r="149" spans="33:34" x14ac:dyDescent="0.55000000000000004">
      <c r="AG149" s="112" t="str">
        <f t="shared" si="2"/>
        <v>18DA93F1</v>
      </c>
      <c r="AH149">
        <v>147</v>
      </c>
    </row>
    <row r="150" spans="33:34" x14ac:dyDescent="0.55000000000000004">
      <c r="AG150" s="112" t="str">
        <f t="shared" si="2"/>
        <v>18DA94F1</v>
      </c>
      <c r="AH150">
        <v>148</v>
      </c>
    </row>
    <row r="151" spans="33:34" x14ac:dyDescent="0.55000000000000004">
      <c r="AG151" s="112" t="str">
        <f t="shared" si="2"/>
        <v>18DA95F1</v>
      </c>
      <c r="AH151">
        <v>149</v>
      </c>
    </row>
    <row r="152" spans="33:34" x14ac:dyDescent="0.55000000000000004">
      <c r="AG152" s="112" t="str">
        <f t="shared" si="2"/>
        <v>18DA96F1</v>
      </c>
      <c r="AH152">
        <v>150</v>
      </c>
    </row>
    <row r="153" spans="33:34" x14ac:dyDescent="0.55000000000000004">
      <c r="AG153" s="112" t="str">
        <f t="shared" si="2"/>
        <v>18DA97F1</v>
      </c>
      <c r="AH153">
        <v>151</v>
      </c>
    </row>
    <row r="154" spans="33:34" x14ac:dyDescent="0.55000000000000004">
      <c r="AG154" s="112" t="str">
        <f t="shared" si="2"/>
        <v>18DA98F1</v>
      </c>
      <c r="AH154">
        <v>152</v>
      </c>
    </row>
    <row r="155" spans="33:34" x14ac:dyDescent="0.55000000000000004">
      <c r="AG155" s="112" t="str">
        <f t="shared" si="2"/>
        <v>18DA99F1</v>
      </c>
      <c r="AH155">
        <v>153</v>
      </c>
    </row>
    <row r="156" spans="33:34" x14ac:dyDescent="0.55000000000000004">
      <c r="AG156" s="112" t="str">
        <f t="shared" si="2"/>
        <v>18DA9AF1</v>
      </c>
      <c r="AH156">
        <v>154</v>
      </c>
    </row>
    <row r="157" spans="33:34" x14ac:dyDescent="0.55000000000000004">
      <c r="AG157" s="112" t="str">
        <f t="shared" si="2"/>
        <v>18DA9BF1</v>
      </c>
      <c r="AH157">
        <v>155</v>
      </c>
    </row>
    <row r="158" spans="33:34" x14ac:dyDescent="0.55000000000000004">
      <c r="AG158" s="112" t="str">
        <f t="shared" si="2"/>
        <v>18DA9CF1</v>
      </c>
      <c r="AH158">
        <v>156</v>
      </c>
    </row>
    <row r="159" spans="33:34" x14ac:dyDescent="0.55000000000000004">
      <c r="AG159" s="112" t="str">
        <f t="shared" si="2"/>
        <v>18DA9DF1</v>
      </c>
      <c r="AH159">
        <v>157</v>
      </c>
    </row>
    <row r="160" spans="33:34" x14ac:dyDescent="0.55000000000000004">
      <c r="AG160" s="112" t="str">
        <f t="shared" si="2"/>
        <v>18DA9EF1</v>
      </c>
      <c r="AH160">
        <v>158</v>
      </c>
    </row>
    <row r="161" spans="33:34" x14ac:dyDescent="0.55000000000000004">
      <c r="AG161" s="112" t="str">
        <f t="shared" si="2"/>
        <v>18DA9FF1</v>
      </c>
      <c r="AH161">
        <v>159</v>
      </c>
    </row>
    <row r="162" spans="33:34" x14ac:dyDescent="0.55000000000000004">
      <c r="AG162" s="112" t="str">
        <f t="shared" si="2"/>
        <v>18DAA0F1</v>
      </c>
      <c r="AH162">
        <v>160</v>
      </c>
    </row>
    <row r="163" spans="33:34" x14ac:dyDescent="0.55000000000000004">
      <c r="AG163" s="112" t="str">
        <f t="shared" si="2"/>
        <v>18DAA1F1</v>
      </c>
      <c r="AH163">
        <v>161</v>
      </c>
    </row>
    <row r="164" spans="33:34" x14ac:dyDescent="0.55000000000000004">
      <c r="AG164" s="112" t="str">
        <f t="shared" si="2"/>
        <v>18DAA2F1</v>
      </c>
      <c r="AH164">
        <v>162</v>
      </c>
    </row>
    <row r="165" spans="33:34" x14ac:dyDescent="0.55000000000000004">
      <c r="AG165" s="112" t="str">
        <f t="shared" si="2"/>
        <v>18DAA3F1</v>
      </c>
      <c r="AH165">
        <v>163</v>
      </c>
    </row>
    <row r="166" spans="33:34" x14ac:dyDescent="0.55000000000000004">
      <c r="AG166" s="112" t="str">
        <f t="shared" si="2"/>
        <v>18DAA4F1</v>
      </c>
      <c r="AH166">
        <v>164</v>
      </c>
    </row>
    <row r="167" spans="33:34" x14ac:dyDescent="0.55000000000000004">
      <c r="AG167" s="112" t="str">
        <f t="shared" si="2"/>
        <v>18DAA5F1</v>
      </c>
      <c r="AH167">
        <v>165</v>
      </c>
    </row>
    <row r="168" spans="33:34" x14ac:dyDescent="0.55000000000000004">
      <c r="AG168" s="112" t="str">
        <f t="shared" si="2"/>
        <v>18DAA6F1</v>
      </c>
      <c r="AH168">
        <v>166</v>
      </c>
    </row>
    <row r="169" spans="33:34" x14ac:dyDescent="0.55000000000000004">
      <c r="AG169" s="112" t="str">
        <f t="shared" si="2"/>
        <v>18DAA7F1</v>
      </c>
      <c r="AH169">
        <v>167</v>
      </c>
    </row>
    <row r="170" spans="33:34" x14ac:dyDescent="0.55000000000000004">
      <c r="AG170" s="112" t="str">
        <f t="shared" si="2"/>
        <v>18DAA8F1</v>
      </c>
      <c r="AH170">
        <v>168</v>
      </c>
    </row>
    <row r="171" spans="33:34" x14ac:dyDescent="0.55000000000000004">
      <c r="AG171" s="112" t="str">
        <f t="shared" si="2"/>
        <v>18DAA9F1</v>
      </c>
      <c r="AH171">
        <v>169</v>
      </c>
    </row>
    <row r="172" spans="33:34" x14ac:dyDescent="0.55000000000000004">
      <c r="AG172" s="112" t="str">
        <f t="shared" si="2"/>
        <v>18DAAAF1</v>
      </c>
      <c r="AH172">
        <v>170</v>
      </c>
    </row>
    <row r="173" spans="33:34" x14ac:dyDescent="0.55000000000000004">
      <c r="AG173" s="112" t="str">
        <f t="shared" si="2"/>
        <v>18DAABF1</v>
      </c>
      <c r="AH173">
        <v>171</v>
      </c>
    </row>
    <row r="174" spans="33:34" x14ac:dyDescent="0.55000000000000004">
      <c r="AG174" s="112" t="str">
        <f t="shared" si="2"/>
        <v>18DAACF1</v>
      </c>
      <c r="AH174">
        <v>172</v>
      </c>
    </row>
    <row r="175" spans="33:34" x14ac:dyDescent="0.55000000000000004">
      <c r="AG175" s="112" t="str">
        <f t="shared" si="2"/>
        <v>18DAADF1</v>
      </c>
      <c r="AH175">
        <v>173</v>
      </c>
    </row>
    <row r="176" spans="33:34" x14ac:dyDescent="0.55000000000000004">
      <c r="AG176" s="112" t="str">
        <f t="shared" si="2"/>
        <v>18DAAEF1</v>
      </c>
      <c r="AH176">
        <v>174</v>
      </c>
    </row>
    <row r="177" spans="33:34" x14ac:dyDescent="0.55000000000000004">
      <c r="AG177" s="112" t="str">
        <f t="shared" si="2"/>
        <v>18DAAFF1</v>
      </c>
      <c r="AH177">
        <v>175</v>
      </c>
    </row>
    <row r="178" spans="33:34" x14ac:dyDescent="0.55000000000000004">
      <c r="AG178" s="112" t="str">
        <f t="shared" si="2"/>
        <v>18DAB0F1</v>
      </c>
      <c r="AH178">
        <v>176</v>
      </c>
    </row>
    <row r="179" spans="33:34" x14ac:dyDescent="0.55000000000000004">
      <c r="AG179" s="112" t="str">
        <f t="shared" si="2"/>
        <v>18DAB1F1</v>
      </c>
      <c r="AH179">
        <v>177</v>
      </c>
    </row>
    <row r="180" spans="33:34" x14ac:dyDescent="0.55000000000000004">
      <c r="AG180" s="112" t="str">
        <f t="shared" si="2"/>
        <v>18DAB2F1</v>
      </c>
      <c r="AH180">
        <v>178</v>
      </c>
    </row>
    <row r="181" spans="33:34" x14ac:dyDescent="0.55000000000000004">
      <c r="AG181" s="112" t="str">
        <f t="shared" si="2"/>
        <v>18DAB3F1</v>
      </c>
      <c r="AH181">
        <v>179</v>
      </c>
    </row>
    <row r="182" spans="33:34" x14ac:dyDescent="0.55000000000000004">
      <c r="AG182" s="112" t="str">
        <f t="shared" si="2"/>
        <v>18DAB4F1</v>
      </c>
      <c r="AH182">
        <v>180</v>
      </c>
    </row>
    <row r="183" spans="33:34" x14ac:dyDescent="0.55000000000000004">
      <c r="AG183" s="112" t="str">
        <f t="shared" si="2"/>
        <v>18DAB5F1</v>
      </c>
      <c r="AH183">
        <v>181</v>
      </c>
    </row>
    <row r="184" spans="33:34" x14ac:dyDescent="0.55000000000000004">
      <c r="AG184" s="112" t="str">
        <f t="shared" si="2"/>
        <v>18DAB6F1</v>
      </c>
      <c r="AH184">
        <v>182</v>
      </c>
    </row>
    <row r="185" spans="33:34" x14ac:dyDescent="0.55000000000000004">
      <c r="AG185" s="112" t="str">
        <f t="shared" si="2"/>
        <v>18DAB7F1</v>
      </c>
      <c r="AH185">
        <v>183</v>
      </c>
    </row>
    <row r="186" spans="33:34" x14ac:dyDescent="0.55000000000000004">
      <c r="AG186" s="112" t="str">
        <f t="shared" si="2"/>
        <v>18DAB8F1</v>
      </c>
      <c r="AH186">
        <v>184</v>
      </c>
    </row>
    <row r="187" spans="33:34" x14ac:dyDescent="0.55000000000000004">
      <c r="AG187" s="112" t="str">
        <f t="shared" si="2"/>
        <v>18DAB9F1</v>
      </c>
      <c r="AH187">
        <v>185</v>
      </c>
    </row>
    <row r="188" spans="33:34" x14ac:dyDescent="0.55000000000000004">
      <c r="AG188" s="112" t="str">
        <f t="shared" si="2"/>
        <v>18DABAF1</v>
      </c>
      <c r="AH188">
        <v>186</v>
      </c>
    </row>
    <row r="189" spans="33:34" x14ac:dyDescent="0.55000000000000004">
      <c r="AG189" s="112" t="str">
        <f t="shared" si="2"/>
        <v>18DABBF1</v>
      </c>
      <c r="AH189">
        <v>187</v>
      </c>
    </row>
    <row r="190" spans="33:34" x14ac:dyDescent="0.55000000000000004">
      <c r="AG190" s="112" t="str">
        <f t="shared" si="2"/>
        <v>18DABCF1</v>
      </c>
      <c r="AH190">
        <v>188</v>
      </c>
    </row>
    <row r="191" spans="33:34" x14ac:dyDescent="0.55000000000000004">
      <c r="AG191" s="112" t="str">
        <f t="shared" si="2"/>
        <v>18DABDF1</v>
      </c>
      <c r="AH191">
        <v>189</v>
      </c>
    </row>
    <row r="192" spans="33:34" x14ac:dyDescent="0.55000000000000004">
      <c r="AG192" s="112" t="str">
        <f t="shared" si="2"/>
        <v>18DABEF1</v>
      </c>
      <c r="AH192">
        <v>190</v>
      </c>
    </row>
    <row r="193" spans="33:34" x14ac:dyDescent="0.55000000000000004">
      <c r="AG193" s="112" t="str">
        <f t="shared" si="2"/>
        <v>18DABFF1</v>
      </c>
      <c r="AH193">
        <v>191</v>
      </c>
    </row>
    <row r="194" spans="33:34" x14ac:dyDescent="0.55000000000000004">
      <c r="AG194" s="112" t="str">
        <f t="shared" ref="AG194:AG257" si="3">CONCATENATE("18DA",DEC2HEX(AH194,2),"F1")</f>
        <v>18DAC0F1</v>
      </c>
      <c r="AH194">
        <v>192</v>
      </c>
    </row>
    <row r="195" spans="33:34" x14ac:dyDescent="0.55000000000000004">
      <c r="AG195" s="112" t="str">
        <f t="shared" si="3"/>
        <v>18DAC1F1</v>
      </c>
      <c r="AH195">
        <v>193</v>
      </c>
    </row>
    <row r="196" spans="33:34" x14ac:dyDescent="0.55000000000000004">
      <c r="AG196" s="112" t="str">
        <f t="shared" si="3"/>
        <v>18DAC2F1</v>
      </c>
      <c r="AH196">
        <v>194</v>
      </c>
    </row>
    <row r="197" spans="33:34" x14ac:dyDescent="0.55000000000000004">
      <c r="AG197" s="112" t="str">
        <f t="shared" si="3"/>
        <v>18DAC3F1</v>
      </c>
      <c r="AH197">
        <v>195</v>
      </c>
    </row>
    <row r="198" spans="33:34" x14ac:dyDescent="0.55000000000000004">
      <c r="AG198" s="112" t="str">
        <f t="shared" si="3"/>
        <v>18DAC4F1</v>
      </c>
      <c r="AH198">
        <v>196</v>
      </c>
    </row>
    <row r="199" spans="33:34" x14ac:dyDescent="0.55000000000000004">
      <c r="AG199" s="112" t="str">
        <f t="shared" si="3"/>
        <v>18DAC5F1</v>
      </c>
      <c r="AH199">
        <v>197</v>
      </c>
    </row>
    <row r="200" spans="33:34" x14ac:dyDescent="0.55000000000000004">
      <c r="AG200" s="112" t="str">
        <f t="shared" si="3"/>
        <v>18DAC6F1</v>
      </c>
      <c r="AH200">
        <v>198</v>
      </c>
    </row>
    <row r="201" spans="33:34" x14ac:dyDescent="0.55000000000000004">
      <c r="AG201" s="112" t="str">
        <f t="shared" si="3"/>
        <v>18DAC7F1</v>
      </c>
      <c r="AH201">
        <v>199</v>
      </c>
    </row>
    <row r="202" spans="33:34" x14ac:dyDescent="0.55000000000000004">
      <c r="AG202" s="112" t="str">
        <f t="shared" si="3"/>
        <v>18DAC8F1</v>
      </c>
      <c r="AH202">
        <v>200</v>
      </c>
    </row>
    <row r="203" spans="33:34" x14ac:dyDescent="0.55000000000000004">
      <c r="AG203" s="112" t="str">
        <f t="shared" si="3"/>
        <v>18DAC9F1</v>
      </c>
      <c r="AH203">
        <v>201</v>
      </c>
    </row>
    <row r="204" spans="33:34" x14ac:dyDescent="0.55000000000000004">
      <c r="AG204" s="112" t="str">
        <f t="shared" si="3"/>
        <v>18DACAF1</v>
      </c>
      <c r="AH204">
        <v>202</v>
      </c>
    </row>
    <row r="205" spans="33:34" x14ac:dyDescent="0.55000000000000004">
      <c r="AG205" s="112" t="str">
        <f t="shared" si="3"/>
        <v>18DACBF1</v>
      </c>
      <c r="AH205">
        <v>203</v>
      </c>
    </row>
    <row r="206" spans="33:34" x14ac:dyDescent="0.55000000000000004">
      <c r="AG206" s="112" t="str">
        <f t="shared" si="3"/>
        <v>18DACCF1</v>
      </c>
      <c r="AH206">
        <v>204</v>
      </c>
    </row>
    <row r="207" spans="33:34" x14ac:dyDescent="0.55000000000000004">
      <c r="AG207" s="112" t="str">
        <f t="shared" si="3"/>
        <v>18DACDF1</v>
      </c>
      <c r="AH207">
        <v>205</v>
      </c>
    </row>
    <row r="208" spans="33:34" x14ac:dyDescent="0.55000000000000004">
      <c r="AG208" s="112" t="str">
        <f t="shared" si="3"/>
        <v>18DACEF1</v>
      </c>
      <c r="AH208">
        <v>206</v>
      </c>
    </row>
    <row r="209" spans="33:34" x14ac:dyDescent="0.55000000000000004">
      <c r="AG209" s="112" t="str">
        <f t="shared" si="3"/>
        <v>18DACFF1</v>
      </c>
      <c r="AH209">
        <v>207</v>
      </c>
    </row>
    <row r="210" spans="33:34" x14ac:dyDescent="0.55000000000000004">
      <c r="AG210" s="112" t="str">
        <f t="shared" si="3"/>
        <v>18DAD0F1</v>
      </c>
      <c r="AH210">
        <v>208</v>
      </c>
    </row>
    <row r="211" spans="33:34" x14ac:dyDescent="0.55000000000000004">
      <c r="AG211" s="112" t="str">
        <f t="shared" si="3"/>
        <v>18DAD1F1</v>
      </c>
      <c r="AH211">
        <v>209</v>
      </c>
    </row>
    <row r="212" spans="33:34" x14ac:dyDescent="0.55000000000000004">
      <c r="AG212" s="112" t="str">
        <f t="shared" si="3"/>
        <v>18DAD2F1</v>
      </c>
      <c r="AH212">
        <v>210</v>
      </c>
    </row>
    <row r="213" spans="33:34" x14ac:dyDescent="0.55000000000000004">
      <c r="AG213" s="112" t="str">
        <f t="shared" si="3"/>
        <v>18DAD3F1</v>
      </c>
      <c r="AH213">
        <v>211</v>
      </c>
    </row>
    <row r="214" spans="33:34" x14ac:dyDescent="0.55000000000000004">
      <c r="AG214" s="112" t="str">
        <f t="shared" si="3"/>
        <v>18DAD4F1</v>
      </c>
      <c r="AH214">
        <v>212</v>
      </c>
    </row>
    <row r="215" spans="33:34" x14ac:dyDescent="0.55000000000000004">
      <c r="AG215" s="112" t="str">
        <f t="shared" si="3"/>
        <v>18DAD5F1</v>
      </c>
      <c r="AH215">
        <v>213</v>
      </c>
    </row>
    <row r="216" spans="33:34" x14ac:dyDescent="0.55000000000000004">
      <c r="AG216" s="112" t="str">
        <f t="shared" si="3"/>
        <v>18DAD6F1</v>
      </c>
      <c r="AH216">
        <v>214</v>
      </c>
    </row>
    <row r="217" spans="33:34" x14ac:dyDescent="0.55000000000000004">
      <c r="AG217" s="112" t="str">
        <f t="shared" si="3"/>
        <v>18DAD7F1</v>
      </c>
      <c r="AH217">
        <v>215</v>
      </c>
    </row>
    <row r="218" spans="33:34" x14ac:dyDescent="0.55000000000000004">
      <c r="AG218" s="112" t="str">
        <f t="shared" si="3"/>
        <v>18DAD8F1</v>
      </c>
      <c r="AH218">
        <v>216</v>
      </c>
    </row>
    <row r="219" spans="33:34" x14ac:dyDescent="0.55000000000000004">
      <c r="AG219" s="112" t="str">
        <f t="shared" si="3"/>
        <v>18DAD9F1</v>
      </c>
      <c r="AH219">
        <v>217</v>
      </c>
    </row>
    <row r="220" spans="33:34" x14ac:dyDescent="0.55000000000000004">
      <c r="AG220" s="112" t="str">
        <f t="shared" si="3"/>
        <v>18DADAF1</v>
      </c>
      <c r="AH220">
        <v>218</v>
      </c>
    </row>
    <row r="221" spans="33:34" x14ac:dyDescent="0.55000000000000004">
      <c r="AG221" s="112" t="str">
        <f t="shared" si="3"/>
        <v>18DADBF1</v>
      </c>
      <c r="AH221">
        <v>219</v>
      </c>
    </row>
    <row r="222" spans="33:34" x14ac:dyDescent="0.55000000000000004">
      <c r="AG222" s="112" t="str">
        <f t="shared" si="3"/>
        <v>18DADCF1</v>
      </c>
      <c r="AH222">
        <v>220</v>
      </c>
    </row>
    <row r="223" spans="33:34" x14ac:dyDescent="0.55000000000000004">
      <c r="AG223" s="112" t="str">
        <f t="shared" si="3"/>
        <v>18DADDF1</v>
      </c>
      <c r="AH223">
        <v>221</v>
      </c>
    </row>
    <row r="224" spans="33:34" x14ac:dyDescent="0.55000000000000004">
      <c r="AG224" s="112" t="str">
        <f t="shared" si="3"/>
        <v>18DADEF1</v>
      </c>
      <c r="AH224">
        <v>222</v>
      </c>
    </row>
    <row r="225" spans="33:34" x14ac:dyDescent="0.55000000000000004">
      <c r="AG225" s="112" t="str">
        <f t="shared" si="3"/>
        <v>18DADFF1</v>
      </c>
      <c r="AH225">
        <v>223</v>
      </c>
    </row>
    <row r="226" spans="33:34" x14ac:dyDescent="0.55000000000000004">
      <c r="AG226" s="112" t="str">
        <f t="shared" si="3"/>
        <v>18DAE0F1</v>
      </c>
      <c r="AH226">
        <v>224</v>
      </c>
    </row>
    <row r="227" spans="33:34" x14ac:dyDescent="0.55000000000000004">
      <c r="AG227" s="112" t="str">
        <f t="shared" si="3"/>
        <v>18DAE1F1</v>
      </c>
      <c r="AH227">
        <v>225</v>
      </c>
    </row>
    <row r="228" spans="33:34" x14ac:dyDescent="0.55000000000000004">
      <c r="AG228" s="112" t="str">
        <f t="shared" si="3"/>
        <v>18DAE2F1</v>
      </c>
      <c r="AH228">
        <v>226</v>
      </c>
    </row>
    <row r="229" spans="33:34" x14ac:dyDescent="0.55000000000000004">
      <c r="AG229" s="112" t="str">
        <f t="shared" si="3"/>
        <v>18DAE3F1</v>
      </c>
      <c r="AH229">
        <v>227</v>
      </c>
    </row>
    <row r="230" spans="33:34" x14ac:dyDescent="0.55000000000000004">
      <c r="AG230" s="112" t="str">
        <f t="shared" si="3"/>
        <v>18DAE4F1</v>
      </c>
      <c r="AH230">
        <v>228</v>
      </c>
    </row>
    <row r="231" spans="33:34" x14ac:dyDescent="0.55000000000000004">
      <c r="AG231" s="112" t="str">
        <f t="shared" si="3"/>
        <v>18DAE5F1</v>
      </c>
      <c r="AH231">
        <v>229</v>
      </c>
    </row>
    <row r="232" spans="33:34" x14ac:dyDescent="0.55000000000000004">
      <c r="AG232" s="112" t="str">
        <f t="shared" si="3"/>
        <v>18DAE6F1</v>
      </c>
      <c r="AH232">
        <v>230</v>
      </c>
    </row>
    <row r="233" spans="33:34" x14ac:dyDescent="0.55000000000000004">
      <c r="AG233" s="112" t="str">
        <f t="shared" si="3"/>
        <v>18DAE7F1</v>
      </c>
      <c r="AH233">
        <v>231</v>
      </c>
    </row>
    <row r="234" spans="33:34" x14ac:dyDescent="0.55000000000000004">
      <c r="AG234" s="112" t="str">
        <f t="shared" si="3"/>
        <v>18DAE8F1</v>
      </c>
      <c r="AH234">
        <v>232</v>
      </c>
    </row>
    <row r="235" spans="33:34" x14ac:dyDescent="0.55000000000000004">
      <c r="AG235" s="112" t="str">
        <f t="shared" si="3"/>
        <v>18DAE9F1</v>
      </c>
      <c r="AH235">
        <v>233</v>
      </c>
    </row>
    <row r="236" spans="33:34" x14ac:dyDescent="0.55000000000000004">
      <c r="AG236" s="112" t="str">
        <f t="shared" si="3"/>
        <v>18DAEAF1</v>
      </c>
      <c r="AH236">
        <v>234</v>
      </c>
    </row>
    <row r="237" spans="33:34" x14ac:dyDescent="0.55000000000000004">
      <c r="AG237" s="112" t="str">
        <f t="shared" si="3"/>
        <v>18DAEBF1</v>
      </c>
      <c r="AH237">
        <v>235</v>
      </c>
    </row>
    <row r="238" spans="33:34" x14ac:dyDescent="0.55000000000000004">
      <c r="AG238" s="112" t="str">
        <f t="shared" si="3"/>
        <v>18DAECF1</v>
      </c>
      <c r="AH238">
        <v>236</v>
      </c>
    </row>
    <row r="239" spans="33:34" x14ac:dyDescent="0.55000000000000004">
      <c r="AG239" s="112" t="str">
        <f t="shared" si="3"/>
        <v>18DAEDF1</v>
      </c>
      <c r="AH239">
        <v>237</v>
      </c>
    </row>
    <row r="240" spans="33:34" x14ac:dyDescent="0.55000000000000004">
      <c r="AG240" s="112" t="str">
        <f t="shared" si="3"/>
        <v>18DAEEF1</v>
      </c>
      <c r="AH240">
        <v>238</v>
      </c>
    </row>
    <row r="241" spans="33:34" x14ac:dyDescent="0.55000000000000004">
      <c r="AG241" s="112" t="str">
        <f t="shared" si="3"/>
        <v>18DAEFF1</v>
      </c>
      <c r="AH241">
        <v>239</v>
      </c>
    </row>
    <row r="242" spans="33:34" x14ac:dyDescent="0.55000000000000004">
      <c r="AG242" s="112" t="str">
        <f t="shared" si="3"/>
        <v>18DAF0F1</v>
      </c>
      <c r="AH242">
        <v>240</v>
      </c>
    </row>
    <row r="243" spans="33:34" x14ac:dyDescent="0.55000000000000004">
      <c r="AG243" s="112" t="str">
        <f t="shared" si="3"/>
        <v>18DAF1F1</v>
      </c>
      <c r="AH243">
        <v>241</v>
      </c>
    </row>
    <row r="244" spans="33:34" x14ac:dyDescent="0.55000000000000004">
      <c r="AG244" s="112" t="str">
        <f t="shared" si="3"/>
        <v>18DAF2F1</v>
      </c>
      <c r="AH244">
        <v>242</v>
      </c>
    </row>
    <row r="245" spans="33:34" x14ac:dyDescent="0.55000000000000004">
      <c r="AG245" s="112" t="str">
        <f t="shared" si="3"/>
        <v>18DAF3F1</v>
      </c>
      <c r="AH245">
        <v>243</v>
      </c>
    </row>
    <row r="246" spans="33:34" x14ac:dyDescent="0.55000000000000004">
      <c r="AG246" s="112" t="str">
        <f t="shared" si="3"/>
        <v>18DAF4F1</v>
      </c>
      <c r="AH246">
        <v>244</v>
      </c>
    </row>
    <row r="247" spans="33:34" x14ac:dyDescent="0.55000000000000004">
      <c r="AG247" s="112" t="str">
        <f t="shared" si="3"/>
        <v>18DAF5F1</v>
      </c>
      <c r="AH247">
        <v>245</v>
      </c>
    </row>
    <row r="248" spans="33:34" x14ac:dyDescent="0.55000000000000004">
      <c r="AG248" s="112" t="str">
        <f t="shared" si="3"/>
        <v>18DAF6F1</v>
      </c>
      <c r="AH248">
        <v>246</v>
      </c>
    </row>
    <row r="249" spans="33:34" x14ac:dyDescent="0.55000000000000004">
      <c r="AG249" s="112" t="str">
        <f t="shared" si="3"/>
        <v>18DAF7F1</v>
      </c>
      <c r="AH249">
        <v>247</v>
      </c>
    </row>
    <row r="250" spans="33:34" x14ac:dyDescent="0.55000000000000004">
      <c r="AG250" s="112" t="str">
        <f t="shared" si="3"/>
        <v>18DAF8F1</v>
      </c>
      <c r="AH250">
        <v>248</v>
      </c>
    </row>
    <row r="251" spans="33:34" x14ac:dyDescent="0.55000000000000004">
      <c r="AG251" s="112" t="str">
        <f t="shared" si="3"/>
        <v>18DAF9F1</v>
      </c>
      <c r="AH251">
        <v>249</v>
      </c>
    </row>
    <row r="252" spans="33:34" x14ac:dyDescent="0.55000000000000004">
      <c r="AG252" s="112" t="str">
        <f t="shared" si="3"/>
        <v>18DAFAF1</v>
      </c>
      <c r="AH252">
        <v>250</v>
      </c>
    </row>
    <row r="253" spans="33:34" x14ac:dyDescent="0.55000000000000004">
      <c r="AG253" s="112" t="str">
        <f t="shared" si="3"/>
        <v>18DAFBF1</v>
      </c>
      <c r="AH253">
        <v>251</v>
      </c>
    </row>
    <row r="254" spans="33:34" x14ac:dyDescent="0.55000000000000004">
      <c r="AG254" s="112" t="str">
        <f t="shared" si="3"/>
        <v>18DAFCF1</v>
      </c>
      <c r="AH254">
        <v>252</v>
      </c>
    </row>
    <row r="255" spans="33:34" x14ac:dyDescent="0.55000000000000004">
      <c r="AG255" s="112" t="str">
        <f t="shared" si="3"/>
        <v>18DAFDF1</v>
      </c>
      <c r="AH255">
        <v>253</v>
      </c>
    </row>
    <row r="256" spans="33:34" x14ac:dyDescent="0.55000000000000004">
      <c r="AG256" s="112" t="str">
        <f t="shared" si="3"/>
        <v>18DAFEF1</v>
      </c>
      <c r="AH256">
        <v>254</v>
      </c>
    </row>
    <row r="257" spans="33:34" x14ac:dyDescent="0.55000000000000004">
      <c r="AG257" s="112" t="str">
        <f t="shared" si="3"/>
        <v>18DAFFF1</v>
      </c>
      <c r="AH257">
        <v>255</v>
      </c>
    </row>
  </sheetData>
  <pageMargins left="0.7" right="0.7" top="0.75" bottom="0.75" header="0.3" footer="0.3"/>
  <pageSetup orientation="portrait"/>
  <legacy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M23"/>
  <sheetViews>
    <sheetView topLeftCell="A4" workbookViewId="0">
      <selection activeCell="B4" sqref="B4"/>
    </sheetView>
  </sheetViews>
  <sheetFormatPr defaultRowHeight="14.4" x14ac:dyDescent="0.55000000000000004"/>
  <cols>
    <col min="1" max="1" width="16.15625" style="27" bestFit="1" customWidth="1"/>
    <col min="2" max="4" width="16.15625" style="27" customWidth="1"/>
    <col min="5" max="5" width="16.578125" style="27" bestFit="1" customWidth="1"/>
    <col min="6" max="7" width="16.578125" style="27" customWidth="1"/>
    <col min="8" max="9" width="15.26171875" style="27" customWidth="1"/>
    <col min="10" max="10" width="37.41796875" style="27" customWidth="1"/>
    <col min="11" max="11" width="33" style="27" bestFit="1" customWidth="1"/>
    <col min="12" max="12" width="34" style="27" bestFit="1" customWidth="1"/>
    <col min="13" max="13" width="49.578125" style="27" customWidth="1"/>
  </cols>
  <sheetData>
    <row r="1" spans="1:11" x14ac:dyDescent="0.55000000000000004">
      <c r="H1" s="143" t="s">
        <v>1261</v>
      </c>
      <c r="I1" s="125"/>
      <c r="J1" s="115"/>
    </row>
    <row r="2" spans="1:11" x14ac:dyDescent="0.55000000000000004">
      <c r="A2" t="s">
        <v>1262</v>
      </c>
      <c r="B2" t="s">
        <v>1263</v>
      </c>
      <c r="C2" t="s">
        <v>1264</v>
      </c>
      <c r="D2" t="s">
        <v>1265</v>
      </c>
      <c r="E2" t="s">
        <v>1266</v>
      </c>
      <c r="F2" t="s">
        <v>1267</v>
      </c>
      <c r="G2" t="s">
        <v>1268</v>
      </c>
      <c r="H2" t="s">
        <v>1269</v>
      </c>
      <c r="I2" t="s">
        <v>1270</v>
      </c>
      <c r="J2" t="s">
        <v>1271</v>
      </c>
      <c r="K2" t="s">
        <v>1272</v>
      </c>
    </row>
    <row r="3" spans="1:11" x14ac:dyDescent="0.55000000000000004">
      <c r="A3" t="s">
        <v>1273</v>
      </c>
      <c r="B3" t="s">
        <v>1274</v>
      </c>
      <c r="C3">
        <v>0</v>
      </c>
      <c r="D3" t="s">
        <v>104</v>
      </c>
      <c r="E3" t="s">
        <v>1223</v>
      </c>
      <c r="F3" t="s">
        <v>1214</v>
      </c>
      <c r="G3">
        <v>0</v>
      </c>
      <c r="H3">
        <v>10000</v>
      </c>
      <c r="I3">
        <v>10000</v>
      </c>
      <c r="K3" t="e">
        <f>LOOKUP(J3,'Sense Group'!B:B,'Sense Group'!C:C)</f>
        <v>#N/A</v>
      </c>
    </row>
    <row r="4" spans="1:11" x14ac:dyDescent="0.55000000000000004">
      <c r="A4" t="s">
        <v>1275</v>
      </c>
      <c r="B4" t="s">
        <v>1276</v>
      </c>
      <c r="C4">
        <v>1</v>
      </c>
      <c r="D4" t="s">
        <v>104</v>
      </c>
      <c r="E4" t="s">
        <v>1223</v>
      </c>
      <c r="F4" t="s">
        <v>1214</v>
      </c>
      <c r="G4">
        <v>0</v>
      </c>
      <c r="H4">
        <v>10000</v>
      </c>
      <c r="I4">
        <v>10000</v>
      </c>
      <c r="K4" t="e">
        <f>LOOKUP(J4,'Sense Group'!B:B,'Sense Group'!C:C)</f>
        <v>#N/A</v>
      </c>
    </row>
    <row r="5" spans="1:11" x14ac:dyDescent="0.55000000000000004">
      <c r="A5" t="s">
        <v>1277</v>
      </c>
      <c r="B5" t="s">
        <v>1278</v>
      </c>
      <c r="C5">
        <v>2</v>
      </c>
      <c r="D5" t="s">
        <v>104</v>
      </c>
      <c r="E5" t="s">
        <v>1223</v>
      </c>
      <c r="F5" t="s">
        <v>1214</v>
      </c>
      <c r="G5">
        <v>0</v>
      </c>
      <c r="H5">
        <v>10000</v>
      </c>
      <c r="I5">
        <v>10000</v>
      </c>
      <c r="K5" t="e">
        <f>LOOKUP(J5,'Sense Group'!B:B,'Sense Group'!C:C)</f>
        <v>#N/A</v>
      </c>
    </row>
    <row r="6" spans="1:11" x14ac:dyDescent="0.55000000000000004">
      <c r="A6" t="s">
        <v>1279</v>
      </c>
      <c r="B6" t="s">
        <v>1280</v>
      </c>
      <c r="C6">
        <v>3</v>
      </c>
      <c r="D6" t="s">
        <v>104</v>
      </c>
      <c r="E6" t="s">
        <v>1223</v>
      </c>
      <c r="F6" t="s">
        <v>1214</v>
      </c>
      <c r="G6">
        <v>0</v>
      </c>
      <c r="H6">
        <v>10000</v>
      </c>
      <c r="I6">
        <v>10000</v>
      </c>
      <c r="K6" t="e">
        <f>LOOKUP(J6,'Sense Group'!B:B,'Sense Group'!C:C)</f>
        <v>#N/A</v>
      </c>
    </row>
    <row r="7" spans="1:11" x14ac:dyDescent="0.55000000000000004">
      <c r="A7" t="s">
        <v>1281</v>
      </c>
      <c r="B7" t="s">
        <v>1282</v>
      </c>
      <c r="C7">
        <v>4</v>
      </c>
      <c r="D7" t="s">
        <v>104</v>
      </c>
      <c r="E7" t="s">
        <v>1223</v>
      </c>
      <c r="F7" t="s">
        <v>1214</v>
      </c>
      <c r="G7">
        <v>0</v>
      </c>
      <c r="H7">
        <v>10000</v>
      </c>
      <c r="I7">
        <v>10000</v>
      </c>
      <c r="K7" t="e">
        <f>LOOKUP(J7,'Sense Group'!B:B,'Sense Group'!C:C)</f>
        <v>#N/A</v>
      </c>
    </row>
    <row r="8" spans="1:11" x14ac:dyDescent="0.55000000000000004">
      <c r="A8" t="s">
        <v>1283</v>
      </c>
      <c r="B8" t="s">
        <v>1284</v>
      </c>
      <c r="C8">
        <v>5</v>
      </c>
      <c r="D8" t="s">
        <v>104</v>
      </c>
      <c r="E8" t="s">
        <v>1223</v>
      </c>
      <c r="F8" t="s">
        <v>1214</v>
      </c>
      <c r="G8">
        <v>0</v>
      </c>
      <c r="H8">
        <v>10000</v>
      </c>
      <c r="I8">
        <v>10000</v>
      </c>
      <c r="K8" t="e">
        <f>LOOKUP(J8,'Sense Group'!B:B,'Sense Group'!C:C)</f>
        <v>#N/A</v>
      </c>
    </row>
    <row r="9" spans="1:11" x14ac:dyDescent="0.55000000000000004">
      <c r="A9" t="s">
        <v>1285</v>
      </c>
      <c r="B9" t="s">
        <v>1286</v>
      </c>
      <c r="C9">
        <v>6</v>
      </c>
      <c r="D9" t="s">
        <v>104</v>
      </c>
      <c r="E9" t="s">
        <v>1223</v>
      </c>
      <c r="F9" t="s">
        <v>1214</v>
      </c>
      <c r="G9">
        <v>0</v>
      </c>
      <c r="H9">
        <v>10000</v>
      </c>
      <c r="I9">
        <v>10000</v>
      </c>
      <c r="K9" t="e">
        <f>LOOKUP(J9,'Sense Group'!B:B,'Sense Group'!C:C)</f>
        <v>#N/A</v>
      </c>
    </row>
    <row r="10" spans="1:11" x14ac:dyDescent="0.55000000000000004">
      <c r="A10" t="s">
        <v>1287</v>
      </c>
      <c r="B10" t="s">
        <v>243</v>
      </c>
      <c r="C10">
        <v>7</v>
      </c>
      <c r="D10" t="s">
        <v>104</v>
      </c>
      <c r="E10" t="s">
        <v>1223</v>
      </c>
      <c r="F10" t="s">
        <v>1214</v>
      </c>
      <c r="G10">
        <v>0</v>
      </c>
      <c r="H10">
        <v>10000</v>
      </c>
      <c r="I10">
        <v>10000</v>
      </c>
      <c r="K10" t="e">
        <f>LOOKUP(J10,'Sense Group'!B:B,'Sense Group'!C:C)</f>
        <v>#N/A</v>
      </c>
    </row>
    <row r="11" spans="1:11" x14ac:dyDescent="0.55000000000000004">
      <c r="A11" t="s">
        <v>1288</v>
      </c>
      <c r="B11" t="s">
        <v>1289</v>
      </c>
      <c r="C11">
        <v>8</v>
      </c>
      <c r="D11" t="s">
        <v>104</v>
      </c>
      <c r="E11" t="s">
        <v>1223</v>
      </c>
      <c r="F11" t="s">
        <v>1214</v>
      </c>
      <c r="G11">
        <v>0</v>
      </c>
      <c r="H11">
        <v>10000</v>
      </c>
      <c r="I11">
        <v>10000</v>
      </c>
      <c r="K11" t="e">
        <f>LOOKUP(J11,'Sense Group'!B:B,'Sense Group'!C:C)</f>
        <v>#N/A</v>
      </c>
    </row>
    <row r="12" spans="1:11" x14ac:dyDescent="0.55000000000000004">
      <c r="A12" t="s">
        <v>1290</v>
      </c>
      <c r="B12" t="s">
        <v>1291</v>
      </c>
      <c r="C12">
        <v>9</v>
      </c>
      <c r="D12" t="s">
        <v>104</v>
      </c>
      <c r="E12" t="s">
        <v>1223</v>
      </c>
      <c r="F12" t="s">
        <v>1214</v>
      </c>
      <c r="G12">
        <v>0</v>
      </c>
      <c r="H12">
        <v>10000</v>
      </c>
      <c r="I12">
        <v>10000</v>
      </c>
      <c r="K12" t="e">
        <f>LOOKUP(J12,'Sense Group'!B:B,'Sense Group'!C:C)</f>
        <v>#N/A</v>
      </c>
    </row>
    <row r="13" spans="1:11" x14ac:dyDescent="0.55000000000000004">
      <c r="A13" t="s">
        <v>1292</v>
      </c>
      <c r="B13" t="s">
        <v>1293</v>
      </c>
      <c r="C13">
        <v>10</v>
      </c>
      <c r="D13" t="s">
        <v>104</v>
      </c>
      <c r="E13" t="s">
        <v>1232</v>
      </c>
      <c r="F13" t="s">
        <v>1214</v>
      </c>
      <c r="G13">
        <v>0</v>
      </c>
      <c r="H13">
        <v>0</v>
      </c>
      <c r="I13">
        <v>0</v>
      </c>
      <c r="K13" t="e">
        <f>LOOKUP(J13,'Sense Group'!B:B,'Sense Group'!C:C)</f>
        <v>#N/A</v>
      </c>
    </row>
    <row r="14" spans="1:11" x14ac:dyDescent="0.55000000000000004">
      <c r="K14" t="e">
        <f>LOOKUP(J14,'Sense Group'!B:B,'Sense Group'!C:C)</f>
        <v>#N/A</v>
      </c>
    </row>
    <row r="15" spans="1:11" x14ac:dyDescent="0.55000000000000004">
      <c r="A15" t="s">
        <v>1294</v>
      </c>
      <c r="K15" t="e">
        <f>LOOKUP(J15,'Sense Group'!B:B,'Sense Group'!C:C)</f>
        <v>#N/A</v>
      </c>
    </row>
    <row r="16" spans="1:11" x14ac:dyDescent="0.55000000000000004">
      <c r="A16" t="s">
        <v>1295</v>
      </c>
      <c r="B16" t="s">
        <v>1296</v>
      </c>
      <c r="C16">
        <v>13</v>
      </c>
      <c r="D16" t="s">
        <v>104</v>
      </c>
      <c r="E16" t="s">
        <v>1213</v>
      </c>
      <c r="F16" t="s">
        <v>1214</v>
      </c>
      <c r="G16">
        <v>0</v>
      </c>
      <c r="H16">
        <v>10000</v>
      </c>
      <c r="I16">
        <v>10000</v>
      </c>
      <c r="K16" t="e">
        <f>LOOKUP(J16,'Sense Group'!B:B,'Sense Group'!C:C)</f>
        <v>#N/A</v>
      </c>
    </row>
    <row r="17" spans="1:11" x14ac:dyDescent="0.55000000000000004">
      <c r="A17" t="s">
        <v>1297</v>
      </c>
      <c r="B17" t="s">
        <v>1298</v>
      </c>
      <c r="C17">
        <v>14</v>
      </c>
      <c r="D17" t="s">
        <v>104</v>
      </c>
      <c r="E17" t="s">
        <v>1213</v>
      </c>
      <c r="F17" t="s">
        <v>1214</v>
      </c>
      <c r="G17">
        <v>0</v>
      </c>
      <c r="H17">
        <v>10000</v>
      </c>
      <c r="I17">
        <v>10000</v>
      </c>
      <c r="K17" t="e">
        <f>LOOKUP(J17,'Sense Group'!B:B,'Sense Group'!C:C)</f>
        <v>#N/A</v>
      </c>
    </row>
    <row r="18" spans="1:11" x14ac:dyDescent="0.55000000000000004">
      <c r="A18" t="s">
        <v>1299</v>
      </c>
      <c r="B18" t="s">
        <v>1286</v>
      </c>
      <c r="C18">
        <v>15</v>
      </c>
      <c r="D18" t="s">
        <v>104</v>
      </c>
      <c r="E18" t="s">
        <v>1213</v>
      </c>
      <c r="F18" t="s">
        <v>1214</v>
      </c>
      <c r="G18">
        <v>0</v>
      </c>
      <c r="H18">
        <v>10000</v>
      </c>
      <c r="I18">
        <v>10000</v>
      </c>
      <c r="K18" t="e">
        <f>LOOKUP(J18,'Sense Group'!B:B,'Sense Group'!C:C)</f>
        <v>#N/A</v>
      </c>
    </row>
    <row r="19" spans="1:11" x14ac:dyDescent="0.55000000000000004">
      <c r="A19" t="s">
        <v>1300</v>
      </c>
      <c r="B19" t="s">
        <v>1301</v>
      </c>
      <c r="C19">
        <v>16</v>
      </c>
      <c r="D19" t="s">
        <v>104</v>
      </c>
      <c r="E19" t="s">
        <v>1213</v>
      </c>
      <c r="F19" t="s">
        <v>1214</v>
      </c>
      <c r="G19">
        <v>0</v>
      </c>
      <c r="H19">
        <v>10000</v>
      </c>
      <c r="I19">
        <v>10000</v>
      </c>
      <c r="K19" t="e">
        <f>LOOKUP(J19,'Sense Group'!B:B,'Sense Group'!C:C)</f>
        <v>#N/A</v>
      </c>
    </row>
    <row r="20" spans="1:11" x14ac:dyDescent="0.55000000000000004">
      <c r="K20" t="e">
        <f>LOOKUP(J20,'Sense Group'!B:B,'Sense Group'!C:C)</f>
        <v>#N/A</v>
      </c>
    </row>
    <row r="21" spans="1:11" x14ac:dyDescent="0.55000000000000004">
      <c r="A21" t="s">
        <v>1302</v>
      </c>
      <c r="K21" t="e">
        <f>LOOKUP(J21,'Sense Group'!B:B,'Sense Group'!C:C)</f>
        <v>#N/A</v>
      </c>
    </row>
    <row r="22" spans="1:11" x14ac:dyDescent="0.55000000000000004">
      <c r="A22" t="s">
        <v>1303</v>
      </c>
      <c r="B22" t="s">
        <v>245</v>
      </c>
      <c r="C22">
        <v>11</v>
      </c>
      <c r="D22" t="s">
        <v>104</v>
      </c>
      <c r="E22" t="s">
        <v>1223</v>
      </c>
      <c r="F22" t="s">
        <v>1214</v>
      </c>
      <c r="G22">
        <v>0</v>
      </c>
      <c r="H22">
        <v>10000</v>
      </c>
      <c r="I22">
        <v>10000</v>
      </c>
      <c r="K22" t="e">
        <f>LOOKUP(J22,'Sense Group'!B:B,'Sense Group'!C:C)</f>
        <v>#N/A</v>
      </c>
    </row>
    <row r="23" spans="1:11" x14ac:dyDescent="0.55000000000000004">
      <c r="A23" t="s">
        <v>1304</v>
      </c>
      <c r="B23" t="s">
        <v>245</v>
      </c>
      <c r="C23">
        <v>12</v>
      </c>
      <c r="D23" t="s">
        <v>104</v>
      </c>
      <c r="E23" t="s">
        <v>1223</v>
      </c>
      <c r="F23" t="s">
        <v>1214</v>
      </c>
      <c r="G23">
        <v>0</v>
      </c>
      <c r="H23">
        <v>10000</v>
      </c>
      <c r="I23">
        <v>10000</v>
      </c>
      <c r="K23" t="e">
        <f>LOOKUP(J23,'Sense Group'!B:B,'Sense Group'!C:C)</f>
        <v>#N/A</v>
      </c>
    </row>
  </sheetData>
  <mergeCells count="1">
    <mergeCell ref="H1:I1"/>
  </mergeCells>
  <pageMargins left="0.7" right="0.7" top="0.75" bottom="0.75" header="0.3" footer="0.3"/>
  <pageSetup orientation="portrait" verticalDpi="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Q19"/>
  <sheetViews>
    <sheetView zoomScaleNormal="100" workbookViewId="0">
      <selection activeCell="B17" sqref="B17"/>
    </sheetView>
  </sheetViews>
  <sheetFormatPr defaultRowHeight="14.4" x14ac:dyDescent="0.55000000000000004"/>
  <cols>
    <col min="1" max="1" width="22" style="27" bestFit="1" customWidth="1"/>
    <col min="2" max="2" width="15.41796875" style="27" bestFit="1" customWidth="1"/>
    <col min="3" max="3" width="16.15625" style="27" bestFit="1" customWidth="1"/>
    <col min="4" max="4" width="16" style="27" bestFit="1" customWidth="1"/>
    <col min="5" max="5" width="18.68359375" style="27" bestFit="1" customWidth="1"/>
    <col min="6" max="6" width="21" style="27" bestFit="1" customWidth="1"/>
    <col min="7" max="7" width="18.83984375" style="27" bestFit="1" customWidth="1"/>
    <col min="8" max="8" width="20.68359375" style="27" bestFit="1" customWidth="1"/>
    <col min="9" max="9" width="27.15625" style="27" bestFit="1" customWidth="1"/>
    <col min="10" max="10" width="31.68359375" style="27" bestFit="1" customWidth="1"/>
    <col min="11" max="11" width="15.41796875" style="27" bestFit="1" customWidth="1"/>
    <col min="12" max="12" width="15.578125" style="27" bestFit="1" customWidth="1"/>
    <col min="13" max="13" width="16" style="27" bestFit="1" customWidth="1"/>
    <col min="14" max="14" width="14.83984375" style="27" bestFit="1" customWidth="1"/>
    <col min="15" max="15" width="15.26171875" style="27" bestFit="1" customWidth="1"/>
    <col min="16" max="16" width="15.41796875" style="27" bestFit="1" customWidth="1"/>
    <col min="17" max="17" width="15.83984375" style="27" bestFit="1" customWidth="1"/>
  </cols>
  <sheetData>
    <row r="1" spans="1:10" x14ac:dyDescent="0.55000000000000004">
      <c r="F1" t="s">
        <v>1305</v>
      </c>
      <c r="G1" t="s">
        <v>1305</v>
      </c>
      <c r="H1" t="s">
        <v>1306</v>
      </c>
    </row>
    <row r="2" spans="1:10" x14ac:dyDescent="0.55000000000000004">
      <c r="A2" t="s">
        <v>1307</v>
      </c>
      <c r="B2" s="113" t="s">
        <v>1308</v>
      </c>
      <c r="C2" s="113" t="s">
        <v>1309</v>
      </c>
      <c r="D2" s="113" t="s">
        <v>1310</v>
      </c>
      <c r="E2" s="113" t="s">
        <v>1311</v>
      </c>
      <c r="F2" s="113" t="s">
        <v>1312</v>
      </c>
      <c r="G2" s="113" t="s">
        <v>1313</v>
      </c>
      <c r="H2" s="113" t="s">
        <v>1314</v>
      </c>
      <c r="I2" s="113" t="s">
        <v>1315</v>
      </c>
    </row>
    <row r="3" spans="1:10" ht="14.7" customHeight="1" x14ac:dyDescent="0.55000000000000004">
      <c r="B3" t="s">
        <v>5</v>
      </c>
      <c r="C3" t="s">
        <v>104</v>
      </c>
      <c r="D3">
        <v>5</v>
      </c>
      <c r="E3">
        <v>5</v>
      </c>
      <c r="F3">
        <v>20</v>
      </c>
      <c r="G3">
        <v>10</v>
      </c>
      <c r="H3">
        <v>1</v>
      </c>
      <c r="I3" s="114">
        <f>COUNTIF(B9:B19,"YES")</f>
        <v>1</v>
      </c>
    </row>
    <row r="5" spans="1:10" x14ac:dyDescent="0.55000000000000004">
      <c r="A5" t="s">
        <v>1316</v>
      </c>
      <c r="B5" t="s">
        <v>1317</v>
      </c>
      <c r="C5" t="s">
        <v>1318</v>
      </c>
      <c r="D5" t="s">
        <v>1319</v>
      </c>
      <c r="F5" t="s">
        <v>1320</v>
      </c>
      <c r="G5" t="s">
        <v>1321</v>
      </c>
      <c r="H5" t="s">
        <v>1322</v>
      </c>
      <c r="I5" t="s">
        <v>1323</v>
      </c>
    </row>
    <row r="6" spans="1:10" x14ac:dyDescent="0.55000000000000004">
      <c r="A6" t="s">
        <v>1215</v>
      </c>
      <c r="B6" t="s">
        <v>1250</v>
      </c>
      <c r="C6" t="str">
        <f>DEC2HEX(HEX2DEC(A6)+8,3)</f>
        <v>7E8</v>
      </c>
      <c r="D6" t="str">
        <f>DEC2HEX(HEX2DEC(B6)+8,3)</f>
        <v>7EF</v>
      </c>
      <c r="F6" t="s">
        <v>1324</v>
      </c>
      <c r="G6" t="s">
        <v>1325</v>
      </c>
      <c r="H6" t="str">
        <f>CONCATENATE(LEFT(F6,4),RIGHT(F6,2), MID(F6,5,2))</f>
        <v>18DAF110</v>
      </c>
      <c r="I6" t="str">
        <f>CONCATENATE(LEFT(G6,4),RIGHT(G6,2), MID(G6,5,2))</f>
        <v>18DAF117</v>
      </c>
    </row>
    <row r="8" spans="1:10" x14ac:dyDescent="0.55000000000000004">
      <c r="A8" t="s">
        <v>1326</v>
      </c>
      <c r="B8" t="s">
        <v>1143</v>
      </c>
      <c r="C8" t="s">
        <v>1327</v>
      </c>
      <c r="E8" t="s">
        <v>1328</v>
      </c>
      <c r="F8" t="s">
        <v>1329</v>
      </c>
      <c r="G8" t="s">
        <v>1330</v>
      </c>
      <c r="H8" t="s">
        <v>1272</v>
      </c>
      <c r="I8" t="s">
        <v>1331</v>
      </c>
      <c r="J8" t="s">
        <v>1332</v>
      </c>
    </row>
    <row r="9" spans="1:10" x14ac:dyDescent="0.55000000000000004">
      <c r="A9" t="s">
        <v>1333</v>
      </c>
      <c r="B9" t="s">
        <v>104</v>
      </c>
      <c r="C9">
        <v>0</v>
      </c>
      <c r="E9">
        <v>2</v>
      </c>
      <c r="F9" t="s">
        <v>1334</v>
      </c>
      <c r="G9" t="s">
        <v>87</v>
      </c>
      <c r="H9" t="str">
        <f>VLOOKUP(I9,'Sense Group'!B:C,2,FALSE)</f>
        <v>0x15</v>
      </c>
      <c r="I9" t="s">
        <v>1126</v>
      </c>
      <c r="J9">
        <v>0</v>
      </c>
    </row>
    <row r="10" spans="1:10" x14ac:dyDescent="0.55000000000000004">
      <c r="A10" t="s">
        <v>1335</v>
      </c>
      <c r="B10" t="s">
        <v>104</v>
      </c>
      <c r="C10">
        <v>0</v>
      </c>
      <c r="E10">
        <v>2</v>
      </c>
      <c r="F10" t="s">
        <v>1336</v>
      </c>
      <c r="G10" t="s">
        <v>1337</v>
      </c>
      <c r="H10" t="str">
        <f>VLOOKUP(I10,'Sense Group'!B:C,2,FALSE)</f>
        <v>0x14</v>
      </c>
      <c r="I10" t="s">
        <v>1099</v>
      </c>
      <c r="J10">
        <v>1</v>
      </c>
    </row>
    <row r="11" spans="1:10" x14ac:dyDescent="0.55000000000000004">
      <c r="A11" t="s">
        <v>1338</v>
      </c>
      <c r="B11" t="s">
        <v>104</v>
      </c>
      <c r="C11">
        <v>0</v>
      </c>
      <c r="E11">
        <v>2</v>
      </c>
      <c r="F11" t="s">
        <v>1336</v>
      </c>
      <c r="G11" t="s">
        <v>94</v>
      </c>
      <c r="H11" t="str">
        <f>VLOOKUP(I11,'Sense Group'!B:C,2,FALSE)</f>
        <v>0x14</v>
      </c>
      <c r="I11" t="s">
        <v>638</v>
      </c>
      <c r="J11">
        <v>2</v>
      </c>
    </row>
    <row r="12" spans="1:10" x14ac:dyDescent="0.55000000000000004">
      <c r="A12" t="s">
        <v>1339</v>
      </c>
      <c r="B12" t="s">
        <v>104</v>
      </c>
      <c r="C12">
        <v>0</v>
      </c>
      <c r="E12">
        <v>2</v>
      </c>
      <c r="F12" t="s">
        <v>1336</v>
      </c>
      <c r="G12" t="s">
        <v>103</v>
      </c>
      <c r="H12" t="str">
        <f>VLOOKUP(I12,'Sense Group'!B:C,2,FALSE)</f>
        <v>0x14</v>
      </c>
      <c r="I12" t="s">
        <v>1069</v>
      </c>
      <c r="J12">
        <v>3</v>
      </c>
    </row>
    <row r="13" spans="1:10" x14ac:dyDescent="0.55000000000000004">
      <c r="A13" t="s">
        <v>1340</v>
      </c>
      <c r="B13" t="s">
        <v>104</v>
      </c>
      <c r="C13">
        <v>0</v>
      </c>
      <c r="E13">
        <v>2</v>
      </c>
      <c r="F13" t="s">
        <v>1336</v>
      </c>
      <c r="G13" t="s">
        <v>1341</v>
      </c>
      <c r="H13" t="str">
        <f>VLOOKUP(I13,'Sense Group'!B:C,2,FALSE)</f>
        <v>0x0C</v>
      </c>
      <c r="I13" t="s">
        <v>665</v>
      </c>
      <c r="J13">
        <v>4</v>
      </c>
    </row>
    <row r="14" spans="1:10" x14ac:dyDescent="0.55000000000000004">
      <c r="A14" t="s">
        <v>1342</v>
      </c>
      <c r="B14" t="s">
        <v>104</v>
      </c>
      <c r="C14">
        <v>0</v>
      </c>
      <c r="E14">
        <v>2</v>
      </c>
      <c r="F14" t="s">
        <v>1336</v>
      </c>
      <c r="G14" t="s">
        <v>1343</v>
      </c>
      <c r="H14" t="str">
        <f>VLOOKUP(I14,'Sense Group'!B:C,2,FALSE)</f>
        <v>0x14</v>
      </c>
      <c r="I14" t="s">
        <v>1097</v>
      </c>
      <c r="J14">
        <v>5</v>
      </c>
    </row>
    <row r="15" spans="1:10" x14ac:dyDescent="0.55000000000000004">
      <c r="A15" t="s">
        <v>1344</v>
      </c>
      <c r="B15" t="s">
        <v>104</v>
      </c>
      <c r="C15">
        <v>0</v>
      </c>
      <c r="E15">
        <v>2</v>
      </c>
      <c r="F15" t="s">
        <v>1336</v>
      </c>
      <c r="G15" t="s">
        <v>1345</v>
      </c>
      <c r="H15" t="str">
        <f>VLOOKUP(I15,'Sense Group'!B:C,2,FALSE)</f>
        <v>0x14</v>
      </c>
      <c r="I15" t="s">
        <v>1103</v>
      </c>
      <c r="J15">
        <v>6</v>
      </c>
    </row>
    <row r="16" spans="1:10" x14ac:dyDescent="0.55000000000000004">
      <c r="A16" t="s">
        <v>1346</v>
      </c>
      <c r="B16" t="s">
        <v>104</v>
      </c>
      <c r="C16">
        <v>0</v>
      </c>
      <c r="E16">
        <v>2</v>
      </c>
      <c r="F16" t="s">
        <v>1336</v>
      </c>
      <c r="G16" t="s">
        <v>116</v>
      </c>
      <c r="H16" t="str">
        <f>VLOOKUP(I16,'Sense Group'!B:C,2,FALSE)</f>
        <v>0x14</v>
      </c>
      <c r="I16" t="s">
        <v>1101</v>
      </c>
      <c r="J16">
        <v>7</v>
      </c>
    </row>
    <row r="17" spans="1:10" x14ac:dyDescent="0.55000000000000004">
      <c r="A17" t="s">
        <v>1347</v>
      </c>
      <c r="B17" t="s">
        <v>265</v>
      </c>
      <c r="C17">
        <v>0</v>
      </c>
      <c r="E17">
        <v>2</v>
      </c>
      <c r="F17" t="s">
        <v>1336</v>
      </c>
      <c r="G17" t="s">
        <v>1348</v>
      </c>
      <c r="H17" t="str">
        <f>VLOOKUP(I17,'Sense Group'!B:C,2,FALSE)</f>
        <v>0x14</v>
      </c>
      <c r="I17" t="s">
        <v>1075</v>
      </c>
      <c r="J17">
        <v>8</v>
      </c>
    </row>
    <row r="18" spans="1:10" x14ac:dyDescent="0.55000000000000004">
      <c r="A18" t="s">
        <v>1349</v>
      </c>
      <c r="B18" t="s">
        <v>104</v>
      </c>
      <c r="C18">
        <v>0</v>
      </c>
      <c r="E18">
        <v>1</v>
      </c>
      <c r="F18" t="s">
        <v>1350</v>
      </c>
      <c r="G18" t="s">
        <v>1351</v>
      </c>
      <c r="H18" t="str">
        <f>VLOOKUP(I18,'Sense Group'!B:C,2,FALSE)</f>
        <v>0x0E</v>
      </c>
      <c r="I18" t="s">
        <v>970</v>
      </c>
      <c r="J18">
        <v>9</v>
      </c>
    </row>
    <row r="19" spans="1:10" x14ac:dyDescent="0.55000000000000004">
      <c r="A19" t="s">
        <v>1352</v>
      </c>
      <c r="B19" t="s">
        <v>104</v>
      </c>
      <c r="C19">
        <v>0</v>
      </c>
      <c r="E19">
        <v>1</v>
      </c>
      <c r="F19" t="s">
        <v>1353</v>
      </c>
      <c r="G19" t="s">
        <v>1351</v>
      </c>
      <c r="H19" t="str">
        <f>VLOOKUP(I19,'Sense Group'!B:C,2,FALSE)</f>
        <v>0x0E</v>
      </c>
      <c r="I19" t="s">
        <v>970</v>
      </c>
      <c r="J19">
        <v>10</v>
      </c>
    </row>
  </sheetData>
  <dataValidations count="1">
    <dataValidation type="list" showInputMessage="1" showErrorMessage="1" sqref="B3:B4">
      <formula1>can</formula1>
    </dataValidation>
  </dataValidations>
  <pageMargins left="0.7" right="0.7" top="0.75" bottom="0.75" header="0.3" footer="0.3"/>
  <pageSetup orientation="portrait" verticalDpi="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4"/>
  <sheetViews>
    <sheetView workbookViewId="0">
      <selection activeCell="E32" sqref="E32"/>
    </sheetView>
  </sheetViews>
  <sheetFormatPr defaultRowHeight="14.4" x14ac:dyDescent="0.55000000000000004"/>
  <cols>
    <col min="1" max="1" width="28.83984375" style="27" bestFit="1" customWidth="1"/>
  </cols>
  <sheetData>
    <row r="1" spans="1:3" x14ac:dyDescent="0.55000000000000004">
      <c r="A1" t="s">
        <v>1354</v>
      </c>
      <c r="B1">
        <v>5000</v>
      </c>
      <c r="C1" t="s">
        <v>1355</v>
      </c>
    </row>
    <row r="2" spans="1:3" x14ac:dyDescent="0.55000000000000004">
      <c r="A2" t="s">
        <v>1356</v>
      </c>
      <c r="B2">
        <v>50</v>
      </c>
      <c r="C2" t="s">
        <v>1355</v>
      </c>
    </row>
    <row r="3" spans="1:3" x14ac:dyDescent="0.55000000000000004">
      <c r="A3" t="s">
        <v>1357</v>
      </c>
      <c r="B3">
        <f>5*B2</f>
        <v>250</v>
      </c>
      <c r="C3" t="s">
        <v>1355</v>
      </c>
    </row>
    <row r="4" spans="1:3" x14ac:dyDescent="0.55000000000000004">
      <c r="A4" t="s">
        <v>1358</v>
      </c>
      <c r="B4">
        <v>5</v>
      </c>
      <c r="C4" t="s">
        <v>1244</v>
      </c>
    </row>
  </sheetData>
  <dataValidations count="2">
    <dataValidation type="whole" showInputMessage="1" showErrorMessage="1" sqref="B4">
      <formula1>0</formula1>
      <formula2>100</formula2>
    </dataValidation>
    <dataValidation type="whole" showInputMessage="1" showErrorMessage="1" sqref="B1:B3">
      <formula1>0</formula1>
      <formula2>65535</formula2>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34</vt:i4>
      </vt:variant>
    </vt:vector>
  </HeadingPairs>
  <TitlesOfParts>
    <vt:vector size="49" baseType="lpstr">
      <vt:lpstr>Summary</vt:lpstr>
      <vt:lpstr>Feature Support</vt:lpstr>
      <vt:lpstr>Basic Sensings</vt:lpstr>
      <vt:lpstr>DATA Misc</vt:lpstr>
      <vt:lpstr>Module enable</vt:lpstr>
      <vt:lpstr>Functions</vt:lpstr>
      <vt:lpstr>Functions CMDs</vt:lpstr>
      <vt:lpstr>Remote Start</vt:lpstr>
      <vt:lpstr>Sense Group</vt:lpstr>
      <vt:lpstr>SensingDataBase</vt:lpstr>
      <vt:lpstr>m2mFormatLUT</vt:lpstr>
      <vt:lpstr>formulas_data tables</vt:lpstr>
      <vt:lpstr>Input</vt:lpstr>
      <vt:lpstr>OBDII</vt:lpstr>
      <vt:lpstr>Watchdog</vt:lpstr>
      <vt:lpstr>ACTIVE</vt:lpstr>
      <vt:lpstr>baud</vt:lpstr>
      <vt:lpstr>baudrate</vt:lpstr>
      <vt:lpstr>Brake</vt:lpstr>
      <vt:lpstr>Broadcast</vt:lpstr>
      <vt:lpstr>byteLocation</vt:lpstr>
      <vt:lpstr>can</vt:lpstr>
      <vt:lpstr>CAN_P</vt:lpstr>
      <vt:lpstr>CAN_Type</vt:lpstr>
      <vt:lpstr>canOne</vt:lpstr>
      <vt:lpstr>canTwo</vt:lpstr>
      <vt:lpstr>car</vt:lpstr>
      <vt:lpstr>carType</vt:lpstr>
      <vt:lpstr>dataType</vt:lpstr>
      <vt:lpstr>ELSE</vt:lpstr>
      <vt:lpstr>ELSEIF</vt:lpstr>
      <vt:lpstr>IF</vt:lpstr>
      <vt:lpstr>Functions!IF_ELSE</vt:lpstr>
      <vt:lpstr>make</vt:lpstr>
      <vt:lpstr>model</vt:lpstr>
      <vt:lpstr>N_A</vt:lpstr>
      <vt:lpstr>Polarity</vt:lpstr>
      <vt:lpstr>signal</vt:lpstr>
      <vt:lpstr>STATE</vt:lpstr>
      <vt:lpstr>tran</vt:lpstr>
      <vt:lpstr>'Basic Sensings'!Transmission</vt:lpstr>
      <vt:lpstr>Functions!Transmission</vt:lpstr>
      <vt:lpstr>'Remote Start'!Transmission</vt:lpstr>
      <vt:lpstr>Summary!Transmission</vt:lpstr>
      <vt:lpstr>type</vt:lpstr>
      <vt:lpstr>units</vt:lpstr>
      <vt:lpstr>vehicleYear</vt:lpstr>
      <vt:lpstr>Year</vt:lpstr>
      <vt:lpstr>Years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Elie Issa;Huiyi Wang</dc:creator>
  <cp:lastModifiedBy>Martin Carufel</cp:lastModifiedBy>
  <dcterms:created xsi:type="dcterms:W3CDTF">2016-05-11T19:19:38Z</dcterms:created>
  <dcterms:modified xsi:type="dcterms:W3CDTF">2020-03-25T12:44:17Z</dcterms:modified>
</cp:coreProperties>
</file>